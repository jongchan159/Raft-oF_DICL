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gjongchan/Desktop/dicl/raftof/Raft-oF_PRIVATE/csv/apply_latency_20260917-022018/"/>
    </mc:Choice>
  </mc:AlternateContent>
  <xr:revisionPtr revIDLastSave="0" documentId="13_ncr:1_{5DB91A11-8148-824F-AD00-B7F608F82E95}" xr6:coauthVersionLast="47" xr6:coauthVersionMax="47" xr10:uidLastSave="{00000000-0000-0000-0000-000000000000}"/>
  <bookViews>
    <workbookView xWindow="20" yWindow="600" windowWidth="30900" windowHeight="19660" xr2:uid="{9A06ABE4-45FB-F045-B6F2-CC07D3CA1761}"/>
  </bookViews>
  <sheets>
    <sheet name="latency" sheetId="1" r:id="rId1"/>
    <sheet name="chart_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2" l="1"/>
  <c r="E34" i="2"/>
  <c r="G33" i="2"/>
  <c r="E33" i="2"/>
  <c r="G32" i="2"/>
  <c r="E32" i="2"/>
  <c r="G31" i="2"/>
  <c r="E31" i="2"/>
  <c r="G30" i="2"/>
  <c r="E30" i="2"/>
  <c r="G29" i="2"/>
  <c r="E29" i="2"/>
  <c r="G28" i="2"/>
  <c r="E28" i="2"/>
  <c r="G23" i="2"/>
  <c r="E23" i="2"/>
  <c r="G22" i="2"/>
  <c r="E22" i="2"/>
  <c r="G21" i="2"/>
  <c r="E21" i="2"/>
  <c r="G20" i="2"/>
  <c r="E20" i="2"/>
  <c r="G19" i="2"/>
  <c r="E19" i="2"/>
  <c r="G18" i="2"/>
  <c r="E18" i="2"/>
  <c r="G17" i="2"/>
  <c r="E17" i="2"/>
  <c r="G12" i="2"/>
  <c r="E12" i="2"/>
  <c r="G11" i="2"/>
  <c r="E11" i="2"/>
  <c r="G10" i="2"/>
  <c r="E10" i="2"/>
  <c r="G9" i="2"/>
  <c r="E9" i="2"/>
  <c r="G8" i="2"/>
  <c r="E8" i="2"/>
  <c r="G7" i="2"/>
  <c r="E7" i="2"/>
  <c r="G6" i="2"/>
  <c r="E6" i="2"/>
  <c r="G27" i="2"/>
  <c r="E27" i="2"/>
  <c r="G16" i="2"/>
  <c r="E16" i="2"/>
  <c r="G5" i="2"/>
  <c r="E5" i="2"/>
  <c r="B12" i="2"/>
  <c r="B34" i="2"/>
  <c r="B33" i="2"/>
  <c r="B32" i="2"/>
  <c r="B31" i="2"/>
  <c r="B30" i="2"/>
  <c r="B29" i="2"/>
  <c r="B28" i="2"/>
  <c r="B27" i="2"/>
  <c r="B23" i="2"/>
  <c r="B22" i="2"/>
  <c r="B21" i="2"/>
  <c r="B20" i="2"/>
  <c r="B19" i="2"/>
  <c r="B18" i="2"/>
  <c r="B17" i="2"/>
  <c r="B16" i="2"/>
  <c r="B11" i="2"/>
  <c r="B10" i="2"/>
  <c r="B9" i="2"/>
  <c r="B8" i="2"/>
  <c r="B7" i="2"/>
  <c r="B6" i="2"/>
  <c r="B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F32" i="2" l="1"/>
  <c r="F31" i="2"/>
  <c r="F28" i="2"/>
  <c r="F27" i="2"/>
  <c r="F33" i="2"/>
  <c r="F29" i="2"/>
  <c r="F21" i="2"/>
  <c r="F34" i="2"/>
  <c r="F30" i="2"/>
  <c r="F22" i="2"/>
  <c r="F19" i="2"/>
  <c r="F20" i="2"/>
  <c r="F17" i="2"/>
  <c r="F23" i="2"/>
  <c r="F18" i="2"/>
  <c r="F11" i="2"/>
  <c r="F6" i="2"/>
  <c r="F10" i="2"/>
  <c r="F7" i="2"/>
  <c r="F8" i="2"/>
  <c r="F12" i="2"/>
  <c r="F9" i="2"/>
  <c r="F16" i="2"/>
  <c r="F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송종찬</author>
  </authors>
  <commentList>
    <comment ref="J5" authorId="0" shapeId="0" xr:uid="{D7A5508F-3622-8343-A0B5-BB95DD13BF60}">
      <text>
        <r>
          <rPr>
            <b/>
            <sz val="10"/>
            <color rgb="FF000000"/>
            <rFont val="Malgun Gothic"/>
            <family val="2"/>
            <charset val="129"/>
          </rPr>
          <t>송종찬:</t>
        </r>
        <r>
          <rPr>
            <sz val="10"/>
            <color rgb="FF000000"/>
            <rFont val="Malgun Gothic"/>
            <family val="2"/>
            <charset val="129"/>
          </rPr>
          <t xml:space="preserve">
latency 시트 E열(mean_us) = A1 기준 열 오프셋 4</t>
        </r>
      </text>
    </comment>
    <comment ref="J16" authorId="0" shapeId="0" xr:uid="{05F9BF19-1122-6F4C-B459-85899F8FA3EF}">
      <text>
        <r>
          <rPr>
            <b/>
            <sz val="10"/>
            <color rgb="FF000000"/>
            <rFont val="Malgun Gothic"/>
            <family val="2"/>
            <charset val="129"/>
          </rPr>
          <t>송종찬:</t>
        </r>
        <r>
          <rPr>
            <sz val="10"/>
            <color rgb="FF000000"/>
            <rFont val="Malgun Gothic"/>
            <family val="2"/>
            <charset val="129"/>
          </rPr>
          <t xml:space="preserve">
latency 시트 E열(mean_us) = A1 기준 열 오프셋 4</t>
        </r>
      </text>
    </comment>
    <comment ref="J27" authorId="0" shapeId="0" xr:uid="{0B78A672-C1E0-0642-81DD-09DB96911573}">
      <text>
        <r>
          <rPr>
            <b/>
            <sz val="10"/>
            <color rgb="FF000000"/>
            <rFont val="Malgun Gothic"/>
            <family val="2"/>
            <charset val="129"/>
          </rPr>
          <t>송종찬:</t>
        </r>
        <r>
          <rPr>
            <sz val="10"/>
            <color rgb="FF000000"/>
            <rFont val="Malgun Gothic"/>
            <family val="2"/>
            <charset val="129"/>
          </rPr>
          <t xml:space="preserve">
latency 시트 E열(mean_us) = A1 기준 열 오프셋 4</t>
        </r>
      </text>
    </comment>
  </commentList>
</comments>
</file>

<file path=xl/sharedStrings.xml><?xml version="1.0" encoding="utf-8"?>
<sst xmlns="http://schemas.openxmlformats.org/spreadsheetml/2006/main" count="187" uniqueCount="42">
  <si>
    <t>size_bytes</t>
  </si>
  <si>
    <t>n_samples</t>
  </si>
  <si>
    <t>term</t>
  </si>
  <si>
    <t>mean_us</t>
  </si>
  <si>
    <t>p50_us</t>
  </si>
  <si>
    <t>p99_us</t>
  </si>
  <si>
    <t>Total</t>
  </si>
  <si>
    <t>LHandler</t>
  </si>
  <si>
    <t>LPersist</t>
  </si>
  <si>
    <t>AENet</t>
  </si>
  <si>
    <t>FHandler</t>
  </si>
  <si>
    <t>ReplNet</t>
  </si>
  <si>
    <t>StorageIO</t>
  </si>
  <si>
    <t>QuorumWait</t>
  </si>
  <si>
    <t>Mutex</t>
  </si>
  <si>
    <t>CommitWait</t>
  </si>
  <si>
    <t>residual</t>
  </si>
  <si>
    <t>Network</t>
  </si>
  <si>
    <t>Network</t>
    <phoneticPr fontId="18" type="noConversion"/>
  </si>
  <si>
    <t>Follwer
Repliction</t>
    <phoneticPr fontId="18" type="noConversion"/>
  </si>
  <si>
    <t>RaftLeader</t>
  </si>
  <si>
    <t>RaftLeader</t>
    <phoneticPr fontId="18" type="noConversion"/>
  </si>
  <si>
    <t>size_bytes별 구간 누적 지연시간 (us)</t>
  </si>
  <si>
    <t>Mean (us)</t>
  </si>
  <si>
    <t>FollowerReplication</t>
  </si>
  <si>
    <t>base(도우미)</t>
  </si>
  <si>
    <t>metric_col</t>
  </si>
  <si>
    <t>p50 (us)</t>
  </si>
  <si>
    <t>p99 (us)</t>
  </si>
  <si>
    <t>1KB</t>
    <phoneticPr fontId="18" type="noConversion"/>
  </si>
  <si>
    <t>2KB</t>
    <phoneticPr fontId="18" type="noConversion"/>
  </si>
  <si>
    <t>4KB</t>
    <phoneticPr fontId="18" type="noConversion"/>
  </si>
  <si>
    <t>8KB</t>
    <phoneticPr fontId="18" type="noConversion"/>
  </si>
  <si>
    <t>16KB</t>
    <phoneticPr fontId="18" type="noConversion"/>
  </si>
  <si>
    <t>32KB</t>
    <phoneticPr fontId="18" type="noConversion"/>
  </si>
  <si>
    <t>64KB</t>
    <phoneticPr fontId="18" type="noConversion"/>
  </si>
  <si>
    <t>128KB</t>
    <phoneticPr fontId="18" type="noConversion"/>
  </si>
  <si>
    <t>ApplySM</t>
  </si>
  <si>
    <t>Total (구간 합)</t>
  </si>
  <si>
    <t>Total (원본 측정)</t>
  </si>
  <si>
    <t>ApplySM</t>
    <phoneticPr fontId="18" type="noConversion"/>
  </si>
  <si>
    <t>QuorumWait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</si>
</sst>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3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12"/>
      <color rgb="FF0000FF"/>
      <name val="맑은 고딕"/>
      <family val="2"/>
      <charset val="129"/>
      <scheme val="minor"/>
    </font>
    <font>
      <sz val="10"/>
      <color rgb="FF000000"/>
      <name val="Malgun Gothic"/>
      <family val="2"/>
      <charset val="129"/>
    </font>
    <font>
      <b/>
      <sz val="10"/>
      <color rgb="FF000000"/>
      <name val="Malgun Gothic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>
      <alignment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Mean </a:t>
            </a:r>
            <a:r>
              <a:rPr lang="ko-KR" altLang="en-US"/>
              <a:t>지연시간 </a:t>
            </a:r>
            <a:r>
              <a:rPr lang="en-US" altLang="ko-KR"/>
              <a:t>(us) — size_bytes</a:t>
            </a:r>
            <a:r>
              <a:rPr lang="ko-KR" altLang="en-US"/>
              <a:t>별 구간 누적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chart_data!$B$4</c:f>
              <c:strCache>
                <c:ptCount val="1"/>
                <c:pt idx="0">
                  <c:v>RaftLeader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chart_data!$A$5:$A$12</c:f>
              <c:strCache>
                <c:ptCount val="8"/>
                <c:pt idx="0">
                  <c:v>1KB</c:v>
                </c:pt>
                <c:pt idx="1">
                  <c:v>2KB</c:v>
                </c:pt>
                <c:pt idx="2">
                  <c:v>4KB</c:v>
                </c:pt>
                <c:pt idx="3">
                  <c:v>8KB</c:v>
                </c:pt>
                <c:pt idx="4">
                  <c:v>16KB</c:v>
                </c:pt>
                <c:pt idx="5">
                  <c:v>32KB</c:v>
                </c:pt>
                <c:pt idx="6">
                  <c:v>64KB</c:v>
                </c:pt>
                <c:pt idx="7">
                  <c:v>128KB</c:v>
                </c:pt>
              </c:strCache>
            </c:strRef>
          </c:cat>
          <c:val>
            <c:numRef>
              <c:f>chart_data!$B$5:$B$12</c:f>
              <c:numCache>
                <c:formatCode>0.0</c:formatCode>
                <c:ptCount val="8"/>
                <c:pt idx="0">
                  <c:v>344.3</c:v>
                </c:pt>
                <c:pt idx="1">
                  <c:v>856.90000000000009</c:v>
                </c:pt>
                <c:pt idx="2">
                  <c:v>952.9</c:v>
                </c:pt>
                <c:pt idx="3">
                  <c:v>888.6</c:v>
                </c:pt>
                <c:pt idx="4">
                  <c:v>1063.3</c:v>
                </c:pt>
                <c:pt idx="5">
                  <c:v>1127.0999999999999</c:v>
                </c:pt>
                <c:pt idx="6">
                  <c:v>1382.8</c:v>
                </c:pt>
                <c:pt idx="7">
                  <c:v>1765.9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84-DE42-941F-64054124CCF2}"/>
            </c:ext>
          </c:extLst>
        </c:ser>
        <c:ser>
          <c:idx val="1"/>
          <c:order val="1"/>
          <c:tx>
            <c:strRef>
              <c:f>chart_data!$C$4</c:f>
              <c:strCache>
                <c:ptCount val="1"/>
                <c:pt idx="0">
                  <c:v>Network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chart_data!$A$5:$A$12</c:f>
              <c:strCache>
                <c:ptCount val="8"/>
                <c:pt idx="0">
                  <c:v>1KB</c:v>
                </c:pt>
                <c:pt idx="1">
                  <c:v>2KB</c:v>
                </c:pt>
                <c:pt idx="2">
                  <c:v>4KB</c:v>
                </c:pt>
                <c:pt idx="3">
                  <c:v>8KB</c:v>
                </c:pt>
                <c:pt idx="4">
                  <c:v>16KB</c:v>
                </c:pt>
                <c:pt idx="5">
                  <c:v>32KB</c:v>
                </c:pt>
                <c:pt idx="6">
                  <c:v>64KB</c:v>
                </c:pt>
                <c:pt idx="7">
                  <c:v>128KB</c:v>
                </c:pt>
              </c:strCache>
            </c:strRef>
          </c:cat>
          <c:val>
            <c:numRef>
              <c:f>chart_data!$C$5:$C$12</c:f>
              <c:numCache>
                <c:formatCode>0.0</c:formatCode>
                <c:ptCount val="8"/>
                <c:pt idx="0">
                  <c:v>77.599999999999994</c:v>
                </c:pt>
                <c:pt idx="1">
                  <c:v>76.400000000000006</c:v>
                </c:pt>
                <c:pt idx="2">
                  <c:v>89.2</c:v>
                </c:pt>
                <c:pt idx="3">
                  <c:v>108.1</c:v>
                </c:pt>
                <c:pt idx="4">
                  <c:v>111.3</c:v>
                </c:pt>
                <c:pt idx="5">
                  <c:v>138.5</c:v>
                </c:pt>
                <c:pt idx="6">
                  <c:v>158.9</c:v>
                </c:pt>
                <c:pt idx="7">
                  <c:v>176.8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84-DE42-941F-64054124CCF2}"/>
            </c:ext>
          </c:extLst>
        </c:ser>
        <c:ser>
          <c:idx val="2"/>
          <c:order val="2"/>
          <c:tx>
            <c:strRef>
              <c:f>chart_data!$D$4</c:f>
              <c:strCache>
                <c:ptCount val="1"/>
                <c:pt idx="0">
                  <c:v>FollowerReplication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chart_data!$A$5:$A$12</c:f>
              <c:strCache>
                <c:ptCount val="8"/>
                <c:pt idx="0">
                  <c:v>1KB</c:v>
                </c:pt>
                <c:pt idx="1">
                  <c:v>2KB</c:v>
                </c:pt>
                <c:pt idx="2">
                  <c:v>4KB</c:v>
                </c:pt>
                <c:pt idx="3">
                  <c:v>8KB</c:v>
                </c:pt>
                <c:pt idx="4">
                  <c:v>16KB</c:v>
                </c:pt>
                <c:pt idx="5">
                  <c:v>32KB</c:v>
                </c:pt>
                <c:pt idx="6">
                  <c:v>64KB</c:v>
                </c:pt>
                <c:pt idx="7">
                  <c:v>128KB</c:v>
                </c:pt>
              </c:strCache>
            </c:strRef>
          </c:cat>
          <c:val>
            <c:numRef>
              <c:f>chart_data!$D$5:$D$12</c:f>
              <c:numCache>
                <c:formatCode>0.0</c:formatCode>
                <c:ptCount val="8"/>
                <c:pt idx="0">
                  <c:v>343.20000000000005</c:v>
                </c:pt>
                <c:pt idx="1">
                  <c:v>312.5</c:v>
                </c:pt>
                <c:pt idx="2">
                  <c:v>350.3</c:v>
                </c:pt>
                <c:pt idx="3">
                  <c:v>284.7</c:v>
                </c:pt>
                <c:pt idx="4">
                  <c:v>384.4</c:v>
                </c:pt>
                <c:pt idx="5">
                  <c:v>378.9</c:v>
                </c:pt>
                <c:pt idx="6">
                  <c:v>504.79999999999995</c:v>
                </c:pt>
                <c:pt idx="7">
                  <c:v>701.59999999999991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84-DE42-941F-64054124CCF2}"/>
            </c:ext>
          </c:extLst>
        </c:ser>
        <c:ser>
          <c:idx val="3"/>
          <c:order val="3"/>
          <c:tx>
            <c:strRef>
              <c:f>chart_data!$E$4</c:f>
              <c:strCache>
                <c:ptCount val="1"/>
                <c:pt idx="0">
                  <c:v>ApplySM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chart_data!$A$5:$A$12</c:f>
              <c:strCache>
                <c:ptCount val="8"/>
                <c:pt idx="0">
                  <c:v>1KB</c:v>
                </c:pt>
                <c:pt idx="1">
                  <c:v>2KB</c:v>
                </c:pt>
                <c:pt idx="2">
                  <c:v>4KB</c:v>
                </c:pt>
                <c:pt idx="3">
                  <c:v>8KB</c:v>
                </c:pt>
                <c:pt idx="4">
                  <c:v>16KB</c:v>
                </c:pt>
                <c:pt idx="5">
                  <c:v>32KB</c:v>
                </c:pt>
                <c:pt idx="6">
                  <c:v>64KB</c:v>
                </c:pt>
                <c:pt idx="7">
                  <c:v>128KB</c:v>
                </c:pt>
              </c:strCache>
            </c:strRef>
          </c:cat>
          <c:val>
            <c:numRef>
              <c:f>chart_data!$E$5:$E$12</c:f>
              <c:numCache>
                <c:formatCode>0.0</c:formatCode>
                <c:ptCount val="8"/>
                <c:pt idx="0">
                  <c:v>21.6</c:v>
                </c:pt>
                <c:pt idx="1">
                  <c:v>27.3</c:v>
                </c:pt>
                <c:pt idx="2">
                  <c:v>28.5</c:v>
                </c:pt>
                <c:pt idx="3">
                  <c:v>47.5</c:v>
                </c:pt>
                <c:pt idx="4">
                  <c:v>71.5</c:v>
                </c:pt>
                <c:pt idx="5">
                  <c:v>111.8</c:v>
                </c:pt>
                <c:pt idx="6">
                  <c:v>190.7</c:v>
                </c:pt>
                <c:pt idx="7">
                  <c:v>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84-DE42-941F-64054124C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7628096"/>
        <c:axId val="1097626304"/>
      </c:barChart>
      <c:catAx>
        <c:axId val="1097628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" altLang="ko-KR"/>
                  <a:t>size_bytes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97626304"/>
        <c:crosses val="autoZero"/>
        <c:auto val="1"/>
        <c:lblAlgn val="ctr"/>
        <c:lblOffset val="100"/>
        <c:noMultiLvlLbl val="0"/>
      </c:catAx>
      <c:valAx>
        <c:axId val="109762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" altLang="ko-KR"/>
                  <a:t>latency (us)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9762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p50 </a:t>
            </a:r>
            <a:r>
              <a:rPr lang="ko-KR" altLang="en-US"/>
              <a:t>지연시간 </a:t>
            </a:r>
            <a:r>
              <a:rPr lang="en-US" altLang="ko-KR"/>
              <a:t>(us) — size_bytes</a:t>
            </a:r>
            <a:r>
              <a:rPr lang="ko-KR" altLang="en-US"/>
              <a:t>별 구간 누적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chart_data!$B$15</c:f>
              <c:strCache>
                <c:ptCount val="1"/>
                <c:pt idx="0">
                  <c:v>RaftLeader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chart_data!$A$16:$A$23</c:f>
              <c:strCache>
                <c:ptCount val="8"/>
                <c:pt idx="0">
                  <c:v>1KB</c:v>
                </c:pt>
                <c:pt idx="1">
                  <c:v>2KB</c:v>
                </c:pt>
                <c:pt idx="2">
                  <c:v>4KB</c:v>
                </c:pt>
                <c:pt idx="3">
                  <c:v>8KB</c:v>
                </c:pt>
                <c:pt idx="4">
                  <c:v>16KB</c:v>
                </c:pt>
                <c:pt idx="5">
                  <c:v>32KB</c:v>
                </c:pt>
                <c:pt idx="6">
                  <c:v>64KB</c:v>
                </c:pt>
                <c:pt idx="7">
                  <c:v>128KB</c:v>
                </c:pt>
              </c:strCache>
            </c:strRef>
          </c:cat>
          <c:val>
            <c:numRef>
              <c:f>chart_data!$B$16:$B$23</c:f>
              <c:numCache>
                <c:formatCode>0.0</c:formatCode>
                <c:ptCount val="8"/>
                <c:pt idx="0">
                  <c:v>325.7</c:v>
                </c:pt>
                <c:pt idx="1">
                  <c:v>817.39999999999986</c:v>
                </c:pt>
                <c:pt idx="2">
                  <c:v>861.8</c:v>
                </c:pt>
                <c:pt idx="3">
                  <c:v>863.3</c:v>
                </c:pt>
                <c:pt idx="4">
                  <c:v>1105.8</c:v>
                </c:pt>
                <c:pt idx="5">
                  <c:v>1166.4000000000001</c:v>
                </c:pt>
                <c:pt idx="6">
                  <c:v>1307.5</c:v>
                </c:pt>
                <c:pt idx="7">
                  <c:v>1724.1999999999998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E4-AD42-A993-8A4AA1031589}"/>
            </c:ext>
          </c:extLst>
        </c:ser>
        <c:ser>
          <c:idx val="1"/>
          <c:order val="1"/>
          <c:tx>
            <c:strRef>
              <c:f>chart_data!$C$15</c:f>
              <c:strCache>
                <c:ptCount val="1"/>
                <c:pt idx="0">
                  <c:v>Network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chart_data!$A$16:$A$23</c:f>
              <c:strCache>
                <c:ptCount val="8"/>
                <c:pt idx="0">
                  <c:v>1KB</c:v>
                </c:pt>
                <c:pt idx="1">
                  <c:v>2KB</c:v>
                </c:pt>
                <c:pt idx="2">
                  <c:v>4KB</c:v>
                </c:pt>
                <c:pt idx="3">
                  <c:v>8KB</c:v>
                </c:pt>
                <c:pt idx="4">
                  <c:v>16KB</c:v>
                </c:pt>
                <c:pt idx="5">
                  <c:v>32KB</c:v>
                </c:pt>
                <c:pt idx="6">
                  <c:v>64KB</c:v>
                </c:pt>
                <c:pt idx="7">
                  <c:v>128KB</c:v>
                </c:pt>
              </c:strCache>
            </c:strRef>
          </c:cat>
          <c:val>
            <c:numRef>
              <c:f>chart_data!$C$16:$C$23</c:f>
              <c:numCache>
                <c:formatCode>0.0</c:formatCode>
                <c:ptCount val="8"/>
                <c:pt idx="0">
                  <c:v>61.8</c:v>
                </c:pt>
                <c:pt idx="1">
                  <c:v>60.4</c:v>
                </c:pt>
                <c:pt idx="2">
                  <c:v>65.400000000000006</c:v>
                </c:pt>
                <c:pt idx="3">
                  <c:v>71.099999999999994</c:v>
                </c:pt>
                <c:pt idx="4">
                  <c:v>127.4</c:v>
                </c:pt>
                <c:pt idx="5">
                  <c:v>136.6</c:v>
                </c:pt>
                <c:pt idx="6">
                  <c:v>177.3</c:v>
                </c:pt>
                <c:pt idx="7">
                  <c:v>187.7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E4-AD42-A993-8A4AA1031589}"/>
            </c:ext>
          </c:extLst>
        </c:ser>
        <c:ser>
          <c:idx val="2"/>
          <c:order val="2"/>
          <c:tx>
            <c:strRef>
              <c:f>chart_data!$D$15</c:f>
              <c:strCache>
                <c:ptCount val="1"/>
                <c:pt idx="0">
                  <c:v>FollowerReplication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chart_data!$A$16:$A$23</c:f>
              <c:strCache>
                <c:ptCount val="8"/>
                <c:pt idx="0">
                  <c:v>1KB</c:v>
                </c:pt>
                <c:pt idx="1">
                  <c:v>2KB</c:v>
                </c:pt>
                <c:pt idx="2">
                  <c:v>4KB</c:v>
                </c:pt>
                <c:pt idx="3">
                  <c:v>8KB</c:v>
                </c:pt>
                <c:pt idx="4">
                  <c:v>16KB</c:v>
                </c:pt>
                <c:pt idx="5">
                  <c:v>32KB</c:v>
                </c:pt>
                <c:pt idx="6">
                  <c:v>64KB</c:v>
                </c:pt>
                <c:pt idx="7">
                  <c:v>128KB</c:v>
                </c:pt>
              </c:strCache>
            </c:strRef>
          </c:cat>
          <c:val>
            <c:numRef>
              <c:f>chart_data!$D$16:$D$23</c:f>
              <c:numCache>
                <c:formatCode>0.0</c:formatCode>
                <c:ptCount val="8"/>
                <c:pt idx="0">
                  <c:v>321.5</c:v>
                </c:pt>
                <c:pt idx="1">
                  <c:v>299.10000000000002</c:v>
                </c:pt>
                <c:pt idx="2">
                  <c:v>330.79999999999995</c:v>
                </c:pt>
                <c:pt idx="3">
                  <c:v>270</c:v>
                </c:pt>
                <c:pt idx="4">
                  <c:v>362.70000000000005</c:v>
                </c:pt>
                <c:pt idx="5">
                  <c:v>356.6</c:v>
                </c:pt>
                <c:pt idx="6">
                  <c:v>507.5</c:v>
                </c:pt>
                <c:pt idx="7">
                  <c:v>715.6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E4-AD42-A993-8A4AA1031589}"/>
            </c:ext>
          </c:extLst>
        </c:ser>
        <c:ser>
          <c:idx val="3"/>
          <c:order val="3"/>
          <c:tx>
            <c:strRef>
              <c:f>chart_data!$E$15</c:f>
              <c:strCache>
                <c:ptCount val="1"/>
                <c:pt idx="0">
                  <c:v>ApplySM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chart_data!$A$16:$A$23</c:f>
              <c:strCache>
                <c:ptCount val="8"/>
                <c:pt idx="0">
                  <c:v>1KB</c:v>
                </c:pt>
                <c:pt idx="1">
                  <c:v>2KB</c:v>
                </c:pt>
                <c:pt idx="2">
                  <c:v>4KB</c:v>
                </c:pt>
                <c:pt idx="3">
                  <c:v>8KB</c:v>
                </c:pt>
                <c:pt idx="4">
                  <c:v>16KB</c:v>
                </c:pt>
                <c:pt idx="5">
                  <c:v>32KB</c:v>
                </c:pt>
                <c:pt idx="6">
                  <c:v>64KB</c:v>
                </c:pt>
                <c:pt idx="7">
                  <c:v>128KB</c:v>
                </c:pt>
              </c:strCache>
            </c:strRef>
          </c:cat>
          <c:val>
            <c:numRef>
              <c:f>chart_data!$E$16:$E$23</c:f>
              <c:numCache>
                <c:formatCode>0.0</c:formatCode>
                <c:ptCount val="8"/>
                <c:pt idx="0">
                  <c:v>20</c:v>
                </c:pt>
                <c:pt idx="1">
                  <c:v>19.899999999999999</c:v>
                </c:pt>
                <c:pt idx="2">
                  <c:v>20.5</c:v>
                </c:pt>
                <c:pt idx="3">
                  <c:v>57.5</c:v>
                </c:pt>
                <c:pt idx="4">
                  <c:v>88.4</c:v>
                </c:pt>
                <c:pt idx="5">
                  <c:v>118.7</c:v>
                </c:pt>
                <c:pt idx="6">
                  <c:v>178.3</c:v>
                </c:pt>
                <c:pt idx="7">
                  <c:v>259.39999999999998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E4-AD42-A993-8A4AA1031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7205056"/>
        <c:axId val="1097206848"/>
      </c:barChart>
      <c:catAx>
        <c:axId val="1097205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" altLang="ko-KR"/>
                  <a:t>size_bytes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97206848"/>
        <c:crosses val="autoZero"/>
        <c:auto val="1"/>
        <c:lblAlgn val="ctr"/>
        <c:lblOffset val="100"/>
        <c:noMultiLvlLbl val="0"/>
      </c:catAx>
      <c:valAx>
        <c:axId val="109720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" altLang="ko-KR"/>
                  <a:t>latency (us)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9720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p99 </a:t>
            </a:r>
            <a:r>
              <a:rPr lang="ko-KR" altLang="en-US"/>
              <a:t>지연시간 </a:t>
            </a:r>
            <a:r>
              <a:rPr lang="en-US" altLang="ko-KR"/>
              <a:t>(us) — size_bytes</a:t>
            </a:r>
            <a:r>
              <a:rPr lang="ko-KR" altLang="en-US"/>
              <a:t>별 구간 누적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chart_data!$B$26</c:f>
              <c:strCache>
                <c:ptCount val="1"/>
                <c:pt idx="0">
                  <c:v>RaftLeader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chart_data!$A$27:$A$34</c:f>
              <c:strCache>
                <c:ptCount val="8"/>
                <c:pt idx="0">
                  <c:v>1KB</c:v>
                </c:pt>
                <c:pt idx="1">
                  <c:v>2KB</c:v>
                </c:pt>
                <c:pt idx="2">
                  <c:v>4KB</c:v>
                </c:pt>
                <c:pt idx="3">
                  <c:v>8KB</c:v>
                </c:pt>
                <c:pt idx="4">
                  <c:v>16KB</c:v>
                </c:pt>
                <c:pt idx="5">
                  <c:v>32KB</c:v>
                </c:pt>
                <c:pt idx="6">
                  <c:v>64KB</c:v>
                </c:pt>
                <c:pt idx="7">
                  <c:v>128KB</c:v>
                </c:pt>
              </c:strCache>
            </c:strRef>
          </c:cat>
          <c:val>
            <c:numRef>
              <c:f>chart_data!$B$27:$B$34</c:f>
              <c:numCache>
                <c:formatCode>0.0</c:formatCode>
                <c:ptCount val="8"/>
                <c:pt idx="0">
                  <c:v>660.09999999999991</c:v>
                </c:pt>
                <c:pt idx="1">
                  <c:v>1435.7</c:v>
                </c:pt>
                <c:pt idx="2">
                  <c:v>1469.4</c:v>
                </c:pt>
                <c:pt idx="3">
                  <c:v>1432.2</c:v>
                </c:pt>
                <c:pt idx="4">
                  <c:v>1614.1</c:v>
                </c:pt>
                <c:pt idx="5">
                  <c:v>1830.4</c:v>
                </c:pt>
                <c:pt idx="6">
                  <c:v>2114.5</c:v>
                </c:pt>
                <c:pt idx="7">
                  <c:v>2584.9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2B-334F-ADF3-A1D16FF47983}"/>
            </c:ext>
          </c:extLst>
        </c:ser>
        <c:ser>
          <c:idx val="1"/>
          <c:order val="1"/>
          <c:tx>
            <c:strRef>
              <c:f>chart_data!$C$26</c:f>
              <c:strCache>
                <c:ptCount val="1"/>
                <c:pt idx="0">
                  <c:v>Network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chart_data!$A$27:$A$34</c:f>
              <c:strCache>
                <c:ptCount val="8"/>
                <c:pt idx="0">
                  <c:v>1KB</c:v>
                </c:pt>
                <c:pt idx="1">
                  <c:v>2KB</c:v>
                </c:pt>
                <c:pt idx="2">
                  <c:v>4KB</c:v>
                </c:pt>
                <c:pt idx="3">
                  <c:v>8KB</c:v>
                </c:pt>
                <c:pt idx="4">
                  <c:v>16KB</c:v>
                </c:pt>
                <c:pt idx="5">
                  <c:v>32KB</c:v>
                </c:pt>
                <c:pt idx="6">
                  <c:v>64KB</c:v>
                </c:pt>
                <c:pt idx="7">
                  <c:v>128KB</c:v>
                </c:pt>
              </c:strCache>
            </c:strRef>
          </c:cat>
          <c:val>
            <c:numRef>
              <c:f>chart_data!$C$27:$C$34</c:f>
              <c:numCache>
                <c:formatCode>0.0</c:formatCode>
                <c:ptCount val="8"/>
                <c:pt idx="0">
                  <c:v>199</c:v>
                </c:pt>
                <c:pt idx="1">
                  <c:v>196.9</c:v>
                </c:pt>
                <c:pt idx="2">
                  <c:v>206.2</c:v>
                </c:pt>
                <c:pt idx="3">
                  <c:v>209.6</c:v>
                </c:pt>
                <c:pt idx="4">
                  <c:v>200.6</c:v>
                </c:pt>
                <c:pt idx="5">
                  <c:v>210.2</c:v>
                </c:pt>
                <c:pt idx="6">
                  <c:v>214.5</c:v>
                </c:pt>
                <c:pt idx="7">
                  <c:v>230.5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2B-334F-ADF3-A1D16FF47983}"/>
            </c:ext>
          </c:extLst>
        </c:ser>
        <c:ser>
          <c:idx val="2"/>
          <c:order val="2"/>
          <c:tx>
            <c:strRef>
              <c:f>chart_data!$D$26</c:f>
              <c:strCache>
                <c:ptCount val="1"/>
                <c:pt idx="0">
                  <c:v>FollowerReplication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chart_data!$A$27:$A$34</c:f>
              <c:strCache>
                <c:ptCount val="8"/>
                <c:pt idx="0">
                  <c:v>1KB</c:v>
                </c:pt>
                <c:pt idx="1">
                  <c:v>2KB</c:v>
                </c:pt>
                <c:pt idx="2">
                  <c:v>4KB</c:v>
                </c:pt>
                <c:pt idx="3">
                  <c:v>8KB</c:v>
                </c:pt>
                <c:pt idx="4">
                  <c:v>16KB</c:v>
                </c:pt>
                <c:pt idx="5">
                  <c:v>32KB</c:v>
                </c:pt>
                <c:pt idx="6">
                  <c:v>64KB</c:v>
                </c:pt>
                <c:pt idx="7">
                  <c:v>128KB</c:v>
                </c:pt>
              </c:strCache>
            </c:strRef>
          </c:cat>
          <c:val>
            <c:numRef>
              <c:f>chart_data!$D$27:$D$34</c:f>
              <c:numCache>
                <c:formatCode>0.0</c:formatCode>
                <c:ptCount val="8"/>
                <c:pt idx="0">
                  <c:v>591.79999999999995</c:v>
                </c:pt>
                <c:pt idx="1">
                  <c:v>559.5</c:v>
                </c:pt>
                <c:pt idx="2">
                  <c:v>600.1</c:v>
                </c:pt>
                <c:pt idx="3">
                  <c:v>565.79999999999995</c:v>
                </c:pt>
                <c:pt idx="4">
                  <c:v>622.4</c:v>
                </c:pt>
                <c:pt idx="5">
                  <c:v>627.4</c:v>
                </c:pt>
                <c:pt idx="6">
                  <c:v>811.1</c:v>
                </c:pt>
                <c:pt idx="7">
                  <c:v>998.3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2B-334F-ADF3-A1D16FF47983}"/>
            </c:ext>
          </c:extLst>
        </c:ser>
        <c:ser>
          <c:idx val="3"/>
          <c:order val="3"/>
          <c:tx>
            <c:strRef>
              <c:f>chart_data!$E$26</c:f>
              <c:strCache>
                <c:ptCount val="1"/>
                <c:pt idx="0">
                  <c:v>ApplySM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chart_data!$A$27:$A$34</c:f>
              <c:strCache>
                <c:ptCount val="8"/>
                <c:pt idx="0">
                  <c:v>1KB</c:v>
                </c:pt>
                <c:pt idx="1">
                  <c:v>2KB</c:v>
                </c:pt>
                <c:pt idx="2">
                  <c:v>4KB</c:v>
                </c:pt>
                <c:pt idx="3">
                  <c:v>8KB</c:v>
                </c:pt>
                <c:pt idx="4">
                  <c:v>16KB</c:v>
                </c:pt>
                <c:pt idx="5">
                  <c:v>32KB</c:v>
                </c:pt>
                <c:pt idx="6">
                  <c:v>64KB</c:v>
                </c:pt>
                <c:pt idx="7">
                  <c:v>128KB</c:v>
                </c:pt>
              </c:strCache>
            </c:strRef>
          </c:cat>
          <c:val>
            <c:numRef>
              <c:f>chart_data!$E$27:$E$34</c:f>
              <c:numCache>
                <c:formatCode>0.0</c:formatCode>
                <c:ptCount val="8"/>
                <c:pt idx="0">
                  <c:v>66.2</c:v>
                </c:pt>
                <c:pt idx="1">
                  <c:v>56.3</c:v>
                </c:pt>
                <c:pt idx="2">
                  <c:v>55.2</c:v>
                </c:pt>
                <c:pt idx="3">
                  <c:v>84.2</c:v>
                </c:pt>
                <c:pt idx="4">
                  <c:v>112.7</c:v>
                </c:pt>
                <c:pt idx="5">
                  <c:v>180.3</c:v>
                </c:pt>
                <c:pt idx="6">
                  <c:v>322.7</c:v>
                </c:pt>
                <c:pt idx="7">
                  <c:v>534.1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2B-334F-ADF3-A1D16FF47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97641344"/>
        <c:axId val="1097643136"/>
      </c:barChart>
      <c:catAx>
        <c:axId val="1097641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" altLang="ko-KR"/>
                  <a:t>size_bytes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97643136"/>
        <c:crosses val="autoZero"/>
        <c:auto val="1"/>
        <c:lblAlgn val="ctr"/>
        <c:lblOffset val="100"/>
        <c:noMultiLvlLbl val="0"/>
      </c:catAx>
      <c:valAx>
        <c:axId val="109764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" altLang="ko-KR"/>
                  <a:t>latency (us)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9764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762000</xdr:colOff>
      <xdr:row>0</xdr:row>
      <xdr:rowOff>127000</xdr:rowOff>
    </xdr:from>
    <xdr:to>
      <xdr:col>16</xdr:col>
      <xdr:colOff>698500</xdr:colOff>
      <xdr:row>17</xdr:row>
      <xdr:rowOff>25400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19D6A1C-608B-0C72-459A-6D715476C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762000</xdr:colOff>
      <xdr:row>18</xdr:row>
      <xdr:rowOff>50800</xdr:rowOff>
    </xdr:from>
    <xdr:to>
      <xdr:col>16</xdr:col>
      <xdr:colOff>698500</xdr:colOff>
      <xdr:row>34</xdr:row>
      <xdr:rowOff>203200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DEB1F786-EACE-C4AC-0C45-030FC88D97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762000</xdr:colOff>
      <xdr:row>36</xdr:row>
      <xdr:rowOff>0</xdr:rowOff>
    </xdr:from>
    <xdr:to>
      <xdr:col>16</xdr:col>
      <xdr:colOff>698500</xdr:colOff>
      <xdr:row>52</xdr:row>
      <xdr:rowOff>152400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9F69ADCF-557B-4BFF-7F4B-42D2353938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C7E1D1B-A078-3B4C-9ACF-56C3113B3995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4a4f2c5c-b6e9-4470-8912-e4ad7477f17e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E3EC9-F176-6A45-899A-0B53C24D6F6A}">
  <dimension ref="A1:G89"/>
  <sheetViews>
    <sheetView tabSelected="1" workbookViewId="0">
      <selection activeCell="D9" sqref="D9"/>
    </sheetView>
  </sheetViews>
  <sheetFormatPr baseColWidth="10" defaultRowHeight="18"/>
  <cols>
    <col min="3" max="3" width="10.7109375" style="1"/>
  </cols>
  <sheetData>
    <row r="1" spans="1:7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1024</v>
      </c>
      <c r="B2">
        <v>10000</v>
      </c>
      <c r="D2" t="s">
        <v>6</v>
      </c>
      <c r="E2">
        <v>786.8</v>
      </c>
      <c r="F2">
        <v>732.7</v>
      </c>
      <c r="G2">
        <v>1127.9000000000001</v>
      </c>
    </row>
    <row r="3" spans="1:7">
      <c r="C3" s="7" t="s">
        <v>20</v>
      </c>
      <c r="D3" t="s">
        <v>7</v>
      </c>
      <c r="E3">
        <v>5.0999999999999996</v>
      </c>
      <c r="F3">
        <v>3.3</v>
      </c>
      <c r="G3">
        <v>27.5</v>
      </c>
    </row>
    <row r="4" spans="1:7">
      <c r="C4" s="7"/>
      <c r="D4" t="s">
        <v>8</v>
      </c>
      <c r="E4">
        <v>131.80000000000001</v>
      </c>
      <c r="F4">
        <v>120.1</v>
      </c>
      <c r="G4">
        <v>250.2</v>
      </c>
    </row>
    <row r="5" spans="1:7">
      <c r="C5" s="1" t="s">
        <v>18</v>
      </c>
      <c r="D5" t="s">
        <v>9</v>
      </c>
      <c r="E5">
        <v>77.599999999999994</v>
      </c>
      <c r="F5">
        <v>61.8</v>
      </c>
      <c r="G5">
        <v>199</v>
      </c>
    </row>
    <row r="6" spans="1:7">
      <c r="C6" s="8" t="s">
        <v>19</v>
      </c>
      <c r="D6" t="s">
        <v>10</v>
      </c>
      <c r="E6">
        <v>5.5</v>
      </c>
      <c r="F6">
        <v>3.6</v>
      </c>
      <c r="G6">
        <v>34.6</v>
      </c>
    </row>
    <row r="7" spans="1:7">
      <c r="C7" s="7"/>
      <c r="D7" t="s">
        <v>11</v>
      </c>
      <c r="E7">
        <v>189.4</v>
      </c>
      <c r="F7">
        <v>171.5</v>
      </c>
      <c r="G7">
        <v>349.9</v>
      </c>
    </row>
    <row r="8" spans="1:7">
      <c r="C8" s="7"/>
      <c r="D8" t="s">
        <v>12</v>
      </c>
      <c r="E8">
        <v>148.30000000000001</v>
      </c>
      <c r="F8">
        <v>146.4</v>
      </c>
      <c r="G8">
        <v>207.3</v>
      </c>
    </row>
    <row r="9" spans="1:7">
      <c r="C9" s="7" t="s">
        <v>21</v>
      </c>
      <c r="D9" t="s">
        <v>41</v>
      </c>
      <c r="E9">
        <v>207.4</v>
      </c>
      <c r="F9">
        <v>202.3</v>
      </c>
      <c r="G9">
        <v>382.4</v>
      </c>
    </row>
    <row r="10" spans="1:7">
      <c r="C10" s="7"/>
    </row>
    <row r="11" spans="1:7">
      <c r="C11" s="7"/>
    </row>
    <row r="12" spans="1:7">
      <c r="C12" s="1" t="s">
        <v>40</v>
      </c>
      <c r="D12" t="s">
        <v>16</v>
      </c>
      <c r="E12">
        <v>21.6</v>
      </c>
      <c r="F12">
        <v>20</v>
      </c>
      <c r="G12">
        <v>66.2</v>
      </c>
    </row>
    <row r="13" spans="1:7">
      <c r="A13">
        <v>2048</v>
      </c>
      <c r="B13">
        <v>10000</v>
      </c>
      <c r="D13" t="s">
        <v>6</v>
      </c>
      <c r="E13">
        <v>738.9</v>
      </c>
      <c r="F13">
        <v>709</v>
      </c>
      <c r="G13">
        <v>1104</v>
      </c>
    </row>
    <row r="14" spans="1:7">
      <c r="C14" s="7" t="s">
        <v>20</v>
      </c>
      <c r="D14" t="s">
        <v>7</v>
      </c>
      <c r="E14">
        <v>6.9</v>
      </c>
      <c r="F14">
        <v>3.1</v>
      </c>
      <c r="G14">
        <v>29.3</v>
      </c>
    </row>
    <row r="15" spans="1:7">
      <c r="C15" s="7"/>
      <c r="D15" t="s">
        <v>8</v>
      </c>
      <c r="E15">
        <v>115.5</v>
      </c>
      <c r="F15">
        <v>102.4</v>
      </c>
      <c r="G15">
        <v>235.7</v>
      </c>
    </row>
    <row r="16" spans="1:7">
      <c r="C16" s="1" t="s">
        <v>18</v>
      </c>
      <c r="D16" t="s">
        <v>9</v>
      </c>
      <c r="E16">
        <v>76.400000000000006</v>
      </c>
      <c r="F16">
        <v>60.4</v>
      </c>
      <c r="G16">
        <v>196.9</v>
      </c>
    </row>
    <row r="17" spans="1:7">
      <c r="C17" s="8" t="s">
        <v>19</v>
      </c>
      <c r="D17" t="s">
        <v>10</v>
      </c>
      <c r="E17">
        <v>5.7</v>
      </c>
      <c r="F17">
        <v>3.5</v>
      </c>
      <c r="G17">
        <v>34.700000000000003</v>
      </c>
    </row>
    <row r="18" spans="1:7">
      <c r="C18" s="7"/>
      <c r="D18" t="s">
        <v>11</v>
      </c>
      <c r="E18">
        <v>163.80000000000001</v>
      </c>
      <c r="F18">
        <v>155.80000000000001</v>
      </c>
      <c r="G18">
        <v>319.5</v>
      </c>
    </row>
    <row r="19" spans="1:7">
      <c r="C19" s="7"/>
      <c r="D19" t="s">
        <v>12</v>
      </c>
      <c r="E19">
        <v>143</v>
      </c>
      <c r="F19">
        <v>139.80000000000001</v>
      </c>
      <c r="G19">
        <v>205.3</v>
      </c>
    </row>
    <row r="20" spans="1:7">
      <c r="C20" s="7" t="s">
        <v>21</v>
      </c>
      <c r="D20" t="s">
        <v>13</v>
      </c>
      <c r="E20">
        <v>200.2</v>
      </c>
      <c r="F20">
        <v>198.9</v>
      </c>
      <c r="G20">
        <v>356.6</v>
      </c>
    </row>
    <row r="21" spans="1:7">
      <c r="C21" s="7"/>
      <c r="D21" t="s">
        <v>14</v>
      </c>
      <c r="E21">
        <v>2.2000000000000002</v>
      </c>
      <c r="F21">
        <v>0.7</v>
      </c>
      <c r="G21">
        <v>13.5</v>
      </c>
    </row>
    <row r="22" spans="1:7">
      <c r="C22" s="7"/>
      <c r="D22" t="s">
        <v>15</v>
      </c>
      <c r="E22">
        <v>532.1</v>
      </c>
      <c r="F22">
        <v>512.29999999999995</v>
      </c>
      <c r="G22">
        <v>800.6</v>
      </c>
    </row>
    <row r="23" spans="1:7">
      <c r="C23" s="1" t="s">
        <v>40</v>
      </c>
      <c r="D23" t="s">
        <v>16</v>
      </c>
      <c r="E23">
        <v>27.3</v>
      </c>
      <c r="F23">
        <v>19.899999999999999</v>
      </c>
      <c r="G23">
        <v>56.3</v>
      </c>
    </row>
    <row r="24" spans="1:7">
      <c r="A24">
        <v>4096</v>
      </c>
      <c r="B24">
        <v>10000</v>
      </c>
      <c r="D24" t="s">
        <v>6</v>
      </c>
      <c r="E24">
        <v>835.1</v>
      </c>
      <c r="F24">
        <v>759.2</v>
      </c>
      <c r="G24">
        <v>1164.2</v>
      </c>
    </row>
    <row r="25" spans="1:7">
      <c r="C25" s="7" t="s">
        <v>20</v>
      </c>
      <c r="D25" t="s">
        <v>7</v>
      </c>
      <c r="E25">
        <v>10.4</v>
      </c>
      <c r="F25">
        <v>8.1</v>
      </c>
      <c r="G25">
        <v>28.7</v>
      </c>
    </row>
    <row r="26" spans="1:7">
      <c r="C26" s="7"/>
      <c r="D26" t="s">
        <v>8</v>
      </c>
      <c r="E26">
        <v>150.9</v>
      </c>
      <c r="F26">
        <v>134.69999999999999</v>
      </c>
      <c r="G26">
        <v>272.60000000000002</v>
      </c>
    </row>
    <row r="27" spans="1:7">
      <c r="C27" s="1" t="s">
        <v>18</v>
      </c>
      <c r="D27" t="s">
        <v>9</v>
      </c>
      <c r="E27">
        <v>89.2</v>
      </c>
      <c r="F27">
        <v>65.400000000000006</v>
      </c>
      <c r="G27">
        <v>206.2</v>
      </c>
    </row>
    <row r="28" spans="1:7">
      <c r="C28" s="8" t="s">
        <v>19</v>
      </c>
      <c r="D28" t="s">
        <v>10</v>
      </c>
      <c r="E28">
        <v>6.1</v>
      </c>
      <c r="F28">
        <v>3.6</v>
      </c>
      <c r="G28">
        <v>34.4</v>
      </c>
    </row>
    <row r="29" spans="1:7">
      <c r="C29" s="7"/>
      <c r="D29" t="s">
        <v>11</v>
      </c>
      <c r="E29">
        <v>184.3</v>
      </c>
      <c r="F29">
        <v>170.5</v>
      </c>
      <c r="G29">
        <v>333.8</v>
      </c>
    </row>
    <row r="30" spans="1:7">
      <c r="C30" s="7"/>
      <c r="D30" t="s">
        <v>12</v>
      </c>
      <c r="E30">
        <v>159.9</v>
      </c>
      <c r="F30">
        <v>156.69999999999999</v>
      </c>
      <c r="G30">
        <v>231.9</v>
      </c>
    </row>
    <row r="31" spans="1:7">
      <c r="C31" s="7" t="s">
        <v>21</v>
      </c>
      <c r="D31" t="s">
        <v>13</v>
      </c>
      <c r="E31">
        <v>205.7</v>
      </c>
      <c r="F31">
        <v>197.2</v>
      </c>
      <c r="G31">
        <v>362.1</v>
      </c>
    </row>
    <row r="32" spans="1:7">
      <c r="C32" s="7"/>
      <c r="D32" t="s">
        <v>14</v>
      </c>
      <c r="E32">
        <v>1.4</v>
      </c>
      <c r="F32">
        <v>0.8</v>
      </c>
      <c r="G32">
        <v>11.1</v>
      </c>
    </row>
    <row r="33" spans="1:7">
      <c r="C33" s="7"/>
      <c r="D33" t="s">
        <v>15</v>
      </c>
      <c r="E33">
        <v>584.5</v>
      </c>
      <c r="F33">
        <v>521</v>
      </c>
      <c r="G33">
        <v>794.9</v>
      </c>
    </row>
    <row r="34" spans="1:7">
      <c r="C34" s="1" t="s">
        <v>40</v>
      </c>
      <c r="D34" t="s">
        <v>16</v>
      </c>
      <c r="E34">
        <v>28.5</v>
      </c>
      <c r="F34">
        <v>20.5</v>
      </c>
      <c r="G34">
        <v>55.2</v>
      </c>
    </row>
    <row r="35" spans="1:7">
      <c r="A35">
        <v>8192</v>
      </c>
      <c r="B35">
        <v>10000</v>
      </c>
      <c r="D35" t="s">
        <v>6</v>
      </c>
      <c r="E35">
        <v>786.6</v>
      </c>
      <c r="F35">
        <v>756.6</v>
      </c>
      <c r="G35">
        <v>1119.2</v>
      </c>
    </row>
    <row r="36" spans="1:7">
      <c r="C36" s="7" t="s">
        <v>20</v>
      </c>
      <c r="D36" t="s">
        <v>7</v>
      </c>
      <c r="E36">
        <v>12.3</v>
      </c>
      <c r="F36">
        <v>9.4</v>
      </c>
      <c r="G36">
        <v>38.4</v>
      </c>
    </row>
    <row r="37" spans="1:7">
      <c r="C37" s="7"/>
      <c r="D37" t="s">
        <v>8</v>
      </c>
      <c r="E37">
        <v>132.9</v>
      </c>
      <c r="F37">
        <v>128.30000000000001</v>
      </c>
      <c r="G37">
        <v>216.5</v>
      </c>
    </row>
    <row r="38" spans="1:7">
      <c r="C38" s="1" t="s">
        <v>18</v>
      </c>
      <c r="D38" t="s">
        <v>9</v>
      </c>
      <c r="E38">
        <v>108.1</v>
      </c>
      <c r="F38">
        <v>71.099999999999994</v>
      </c>
      <c r="G38">
        <v>209.6</v>
      </c>
    </row>
    <row r="39" spans="1:7">
      <c r="C39" s="8" t="s">
        <v>19</v>
      </c>
      <c r="D39" t="s">
        <v>10</v>
      </c>
      <c r="E39">
        <v>6.2</v>
      </c>
      <c r="F39">
        <v>4</v>
      </c>
      <c r="G39">
        <v>37.5</v>
      </c>
    </row>
    <row r="40" spans="1:7">
      <c r="C40" s="7"/>
      <c r="D40" t="s">
        <v>11</v>
      </c>
      <c r="E40">
        <v>142.9</v>
      </c>
      <c r="F40">
        <v>133.69999999999999</v>
      </c>
      <c r="G40">
        <v>314.8</v>
      </c>
    </row>
    <row r="41" spans="1:7">
      <c r="C41" s="7"/>
      <c r="D41" t="s">
        <v>12</v>
      </c>
      <c r="E41">
        <v>135.6</v>
      </c>
      <c r="F41">
        <v>132.30000000000001</v>
      </c>
      <c r="G41">
        <v>213.5</v>
      </c>
    </row>
    <row r="42" spans="1:7">
      <c r="C42" s="7" t="s">
        <v>21</v>
      </c>
      <c r="D42" t="s">
        <v>13</v>
      </c>
      <c r="E42">
        <v>201</v>
      </c>
      <c r="F42">
        <v>205.3</v>
      </c>
      <c r="G42">
        <v>362</v>
      </c>
    </row>
    <row r="43" spans="1:7">
      <c r="C43" s="7"/>
      <c r="D43" t="s">
        <v>14</v>
      </c>
      <c r="E43">
        <v>2.1</v>
      </c>
      <c r="F43">
        <v>0.7</v>
      </c>
      <c r="G43">
        <v>18.7</v>
      </c>
    </row>
    <row r="44" spans="1:7">
      <c r="C44" s="7"/>
      <c r="D44" t="s">
        <v>15</v>
      </c>
      <c r="E44">
        <v>540.29999999999995</v>
      </c>
      <c r="F44">
        <v>519.6</v>
      </c>
      <c r="G44">
        <v>796.6</v>
      </c>
    </row>
    <row r="45" spans="1:7">
      <c r="C45" s="1" t="s">
        <v>40</v>
      </c>
      <c r="D45" t="s">
        <v>16</v>
      </c>
      <c r="E45">
        <v>47.5</v>
      </c>
      <c r="F45">
        <v>57.5</v>
      </c>
      <c r="G45">
        <v>84.2</v>
      </c>
    </row>
    <row r="46" spans="1:7">
      <c r="A46">
        <v>16384</v>
      </c>
      <c r="B46">
        <v>10000</v>
      </c>
      <c r="D46" t="s">
        <v>6</v>
      </c>
      <c r="E46">
        <v>982.6</v>
      </c>
      <c r="F46">
        <v>1004.5</v>
      </c>
      <c r="G46">
        <v>1277.5</v>
      </c>
    </row>
    <row r="47" spans="1:7">
      <c r="C47" s="7" t="s">
        <v>20</v>
      </c>
      <c r="D47" t="s">
        <v>7</v>
      </c>
      <c r="E47">
        <v>18.3</v>
      </c>
      <c r="F47">
        <v>16.100000000000001</v>
      </c>
      <c r="G47">
        <v>53.5</v>
      </c>
    </row>
    <row r="48" spans="1:7">
      <c r="C48" s="7"/>
      <c r="D48" t="s">
        <v>8</v>
      </c>
      <c r="E48">
        <v>181.1</v>
      </c>
      <c r="F48">
        <v>172.6</v>
      </c>
      <c r="G48">
        <v>314.3</v>
      </c>
    </row>
    <row r="49" spans="1:7">
      <c r="C49" s="1" t="s">
        <v>18</v>
      </c>
      <c r="D49" t="s">
        <v>9</v>
      </c>
      <c r="E49">
        <v>111.3</v>
      </c>
      <c r="F49">
        <v>127.4</v>
      </c>
      <c r="G49">
        <v>200.6</v>
      </c>
    </row>
    <row r="50" spans="1:7">
      <c r="C50" s="8" t="s">
        <v>19</v>
      </c>
      <c r="D50" t="s">
        <v>10</v>
      </c>
      <c r="E50">
        <v>6.8</v>
      </c>
      <c r="F50">
        <v>6.3</v>
      </c>
      <c r="G50">
        <v>28.3</v>
      </c>
    </row>
    <row r="51" spans="1:7">
      <c r="C51" s="7"/>
      <c r="D51" t="s">
        <v>11</v>
      </c>
      <c r="E51">
        <v>209</v>
      </c>
      <c r="F51">
        <v>191.3</v>
      </c>
      <c r="G51">
        <v>350.2</v>
      </c>
    </row>
    <row r="52" spans="1:7">
      <c r="C52" s="7"/>
      <c r="D52" t="s">
        <v>12</v>
      </c>
      <c r="E52">
        <v>168.6</v>
      </c>
      <c r="F52">
        <v>165.1</v>
      </c>
      <c r="G52">
        <v>243.9</v>
      </c>
    </row>
    <row r="53" spans="1:7">
      <c r="C53" s="7" t="s">
        <v>21</v>
      </c>
      <c r="D53" t="s">
        <v>13</v>
      </c>
      <c r="E53">
        <v>216.1</v>
      </c>
      <c r="F53">
        <v>215.8</v>
      </c>
      <c r="G53">
        <v>371.5</v>
      </c>
    </row>
    <row r="54" spans="1:7">
      <c r="C54" s="7"/>
      <c r="D54" t="s">
        <v>14</v>
      </c>
      <c r="E54">
        <v>2.2999999999999998</v>
      </c>
      <c r="F54">
        <v>0.8</v>
      </c>
      <c r="G54">
        <v>18.399999999999999</v>
      </c>
    </row>
    <row r="55" spans="1:7">
      <c r="C55" s="7"/>
      <c r="D55" t="s">
        <v>15</v>
      </c>
      <c r="E55">
        <v>645.5</v>
      </c>
      <c r="F55">
        <v>700.5</v>
      </c>
      <c r="G55">
        <v>856.4</v>
      </c>
    </row>
    <row r="56" spans="1:7">
      <c r="C56" s="1" t="s">
        <v>40</v>
      </c>
      <c r="D56" t="s">
        <v>16</v>
      </c>
      <c r="E56">
        <v>71.5</v>
      </c>
      <c r="F56">
        <v>88.4</v>
      </c>
      <c r="G56">
        <v>112.7</v>
      </c>
    </row>
    <row r="57" spans="1:7">
      <c r="A57">
        <v>32768</v>
      </c>
      <c r="B57">
        <v>10000</v>
      </c>
      <c r="D57" t="s">
        <v>6</v>
      </c>
      <c r="E57">
        <v>1079.5</v>
      </c>
      <c r="F57">
        <v>1098.5999999999999</v>
      </c>
      <c r="G57">
        <v>1473.5</v>
      </c>
    </row>
    <row r="58" spans="1:7">
      <c r="C58" s="7" t="s">
        <v>20</v>
      </c>
      <c r="D58" t="s">
        <v>7</v>
      </c>
      <c r="E58">
        <v>28.1</v>
      </c>
      <c r="F58">
        <v>17.2</v>
      </c>
      <c r="G58">
        <v>91.5</v>
      </c>
    </row>
    <row r="59" spans="1:7">
      <c r="C59" s="7"/>
      <c r="D59" t="s">
        <v>8</v>
      </c>
      <c r="E59">
        <v>204.8</v>
      </c>
      <c r="F59">
        <v>192.3</v>
      </c>
      <c r="G59">
        <v>357.6</v>
      </c>
    </row>
    <row r="60" spans="1:7">
      <c r="C60" s="1" t="s">
        <v>18</v>
      </c>
      <c r="D60" t="s">
        <v>9</v>
      </c>
      <c r="E60">
        <v>138.5</v>
      </c>
      <c r="F60">
        <v>136.6</v>
      </c>
      <c r="G60">
        <v>210.2</v>
      </c>
    </row>
    <row r="61" spans="1:7">
      <c r="C61" s="8" t="s">
        <v>19</v>
      </c>
      <c r="D61" t="s">
        <v>10</v>
      </c>
      <c r="E61">
        <v>7.5</v>
      </c>
      <c r="F61">
        <v>6.8</v>
      </c>
      <c r="G61">
        <v>35.299999999999997</v>
      </c>
    </row>
    <row r="62" spans="1:7">
      <c r="C62" s="7"/>
      <c r="D62" t="s">
        <v>11</v>
      </c>
      <c r="E62">
        <v>200.3</v>
      </c>
      <c r="F62">
        <v>184.1</v>
      </c>
      <c r="G62">
        <v>345.7</v>
      </c>
    </row>
    <row r="63" spans="1:7">
      <c r="C63" s="7"/>
      <c r="D63" t="s">
        <v>12</v>
      </c>
      <c r="E63">
        <v>171.1</v>
      </c>
      <c r="F63">
        <v>165.7</v>
      </c>
      <c r="G63">
        <v>246.4</v>
      </c>
    </row>
    <row r="64" spans="1:7">
      <c r="C64" s="7" t="s">
        <v>21</v>
      </c>
      <c r="D64" t="s">
        <v>13</v>
      </c>
      <c r="E64">
        <v>217.4</v>
      </c>
      <c r="F64">
        <v>221.1</v>
      </c>
      <c r="G64">
        <v>381.1</v>
      </c>
    </row>
    <row r="65" spans="1:7">
      <c r="C65" s="7"/>
      <c r="D65" t="s">
        <v>14</v>
      </c>
      <c r="E65">
        <v>1.8</v>
      </c>
      <c r="F65">
        <v>0.8</v>
      </c>
      <c r="G65">
        <v>18.8</v>
      </c>
    </row>
    <row r="66" spans="1:7">
      <c r="C66" s="7"/>
      <c r="D66" t="s">
        <v>15</v>
      </c>
      <c r="E66">
        <v>675</v>
      </c>
      <c r="F66">
        <v>735</v>
      </c>
      <c r="G66">
        <v>981.4</v>
      </c>
    </row>
    <row r="67" spans="1:7">
      <c r="C67" s="1" t="s">
        <v>40</v>
      </c>
      <c r="D67" t="s">
        <v>16</v>
      </c>
      <c r="E67">
        <v>111.8</v>
      </c>
      <c r="F67">
        <v>118.7</v>
      </c>
      <c r="G67">
        <v>180.3</v>
      </c>
    </row>
    <row r="68" spans="1:7">
      <c r="A68">
        <v>65536</v>
      </c>
      <c r="B68">
        <v>10000</v>
      </c>
      <c r="D68" t="s">
        <v>6</v>
      </c>
      <c r="E68">
        <v>1417.8</v>
      </c>
      <c r="F68">
        <v>1391.6</v>
      </c>
      <c r="G68">
        <v>1868.1</v>
      </c>
    </row>
    <row r="69" spans="1:7">
      <c r="C69" s="7" t="s">
        <v>20</v>
      </c>
      <c r="D69" t="s">
        <v>7</v>
      </c>
      <c r="E69">
        <v>56.7</v>
      </c>
      <c r="F69">
        <v>36.700000000000003</v>
      </c>
      <c r="G69">
        <v>161.6</v>
      </c>
    </row>
    <row r="70" spans="1:7">
      <c r="C70" s="7"/>
      <c r="D70" t="s">
        <v>8</v>
      </c>
      <c r="E70">
        <v>291.8</v>
      </c>
      <c r="F70">
        <v>275.89999999999998</v>
      </c>
      <c r="G70">
        <v>436.1</v>
      </c>
    </row>
    <row r="71" spans="1:7">
      <c r="C71" s="1" t="s">
        <v>18</v>
      </c>
      <c r="D71" t="s">
        <v>9</v>
      </c>
      <c r="E71">
        <v>158.9</v>
      </c>
      <c r="F71">
        <v>177.3</v>
      </c>
      <c r="G71">
        <v>214.5</v>
      </c>
    </row>
    <row r="72" spans="1:7">
      <c r="C72" s="8" t="s">
        <v>19</v>
      </c>
      <c r="D72" t="s">
        <v>10</v>
      </c>
      <c r="E72">
        <v>10</v>
      </c>
      <c r="F72">
        <v>6.9</v>
      </c>
      <c r="G72">
        <v>35.799999999999997</v>
      </c>
    </row>
    <row r="73" spans="1:7">
      <c r="C73" s="7"/>
      <c r="D73" t="s">
        <v>11</v>
      </c>
      <c r="E73">
        <v>270.39999999999998</v>
      </c>
      <c r="F73">
        <v>279.8</v>
      </c>
      <c r="G73">
        <v>464.6</v>
      </c>
    </row>
    <row r="74" spans="1:7">
      <c r="C74" s="7"/>
      <c r="D74" t="s">
        <v>12</v>
      </c>
      <c r="E74">
        <v>224.4</v>
      </c>
      <c r="F74">
        <v>220.8</v>
      </c>
      <c r="G74">
        <v>310.7</v>
      </c>
    </row>
    <row r="75" spans="1:7">
      <c r="C75" s="7" t="s">
        <v>21</v>
      </c>
      <c r="D75" t="s">
        <v>13</v>
      </c>
      <c r="E75">
        <v>215</v>
      </c>
      <c r="F75">
        <v>206.8</v>
      </c>
      <c r="G75">
        <v>405.8</v>
      </c>
    </row>
    <row r="76" spans="1:7">
      <c r="C76" s="7"/>
      <c r="D76" t="s">
        <v>14</v>
      </c>
      <c r="E76">
        <v>1.8</v>
      </c>
      <c r="F76">
        <v>0.8</v>
      </c>
      <c r="G76">
        <v>18.2</v>
      </c>
    </row>
    <row r="77" spans="1:7">
      <c r="C77" s="7"/>
      <c r="D77" t="s">
        <v>15</v>
      </c>
      <c r="E77">
        <v>817.5</v>
      </c>
      <c r="F77">
        <v>787.3</v>
      </c>
      <c r="G77">
        <v>1092.8</v>
      </c>
    </row>
    <row r="78" spans="1:7">
      <c r="C78" s="1" t="s">
        <v>40</v>
      </c>
      <c r="D78" t="s">
        <v>16</v>
      </c>
      <c r="E78">
        <v>190.7</v>
      </c>
      <c r="F78">
        <v>178.3</v>
      </c>
      <c r="G78">
        <v>322.7</v>
      </c>
    </row>
    <row r="79" spans="1:7">
      <c r="A79">
        <v>131072</v>
      </c>
      <c r="B79">
        <v>10000</v>
      </c>
      <c r="D79" t="s">
        <v>6</v>
      </c>
      <c r="E79">
        <v>1914.9</v>
      </c>
      <c r="F79">
        <v>1897.7</v>
      </c>
      <c r="G79">
        <v>2420.1</v>
      </c>
    </row>
    <row r="80" spans="1:7">
      <c r="C80" s="7" t="s">
        <v>20</v>
      </c>
      <c r="D80" t="s">
        <v>7</v>
      </c>
      <c r="E80">
        <v>70.599999999999994</v>
      </c>
      <c r="F80">
        <v>47.5</v>
      </c>
      <c r="G80">
        <v>221</v>
      </c>
    </row>
    <row r="81" spans="3:7">
      <c r="C81" s="7"/>
      <c r="D81" t="s">
        <v>8</v>
      </c>
      <c r="E81">
        <v>451.5</v>
      </c>
      <c r="F81">
        <v>452.2</v>
      </c>
      <c r="G81">
        <v>572.9</v>
      </c>
    </row>
    <row r="82" spans="3:7">
      <c r="C82" s="1" t="s">
        <v>18</v>
      </c>
      <c r="D82" t="s">
        <v>9</v>
      </c>
      <c r="E82">
        <v>176.8</v>
      </c>
      <c r="F82">
        <v>187.7</v>
      </c>
      <c r="G82">
        <v>230.5</v>
      </c>
    </row>
    <row r="83" spans="3:7">
      <c r="C83" s="8" t="s">
        <v>19</v>
      </c>
      <c r="D83" t="s">
        <v>10</v>
      </c>
      <c r="E83">
        <v>8.5</v>
      </c>
      <c r="F83">
        <v>7.1</v>
      </c>
      <c r="G83">
        <v>35.6</v>
      </c>
    </row>
    <row r="84" spans="3:7">
      <c r="C84" s="7"/>
      <c r="D84" t="s">
        <v>11</v>
      </c>
      <c r="E84">
        <v>369.2</v>
      </c>
      <c r="F84">
        <v>391.3</v>
      </c>
      <c r="G84">
        <v>506.7</v>
      </c>
    </row>
    <row r="85" spans="3:7">
      <c r="C85" s="7"/>
      <c r="D85" t="s">
        <v>12</v>
      </c>
      <c r="E85">
        <v>323.89999999999998</v>
      </c>
      <c r="F85">
        <v>317.2</v>
      </c>
      <c r="G85">
        <v>456</v>
      </c>
    </row>
    <row r="86" spans="3:7">
      <c r="C86" s="7" t="s">
        <v>21</v>
      </c>
      <c r="D86" t="s">
        <v>13</v>
      </c>
      <c r="E86">
        <v>220.5</v>
      </c>
      <c r="F86">
        <v>205.7</v>
      </c>
      <c r="G86">
        <v>426</v>
      </c>
    </row>
    <row r="87" spans="3:7">
      <c r="C87" s="7"/>
      <c r="D87" t="s">
        <v>14</v>
      </c>
      <c r="E87">
        <v>2.2999999999999998</v>
      </c>
      <c r="F87">
        <v>0.8</v>
      </c>
      <c r="G87">
        <v>19.100000000000001</v>
      </c>
    </row>
    <row r="88" spans="3:7">
      <c r="C88" s="7"/>
      <c r="D88" t="s">
        <v>15</v>
      </c>
      <c r="E88">
        <v>1021</v>
      </c>
      <c r="F88">
        <v>1018</v>
      </c>
      <c r="G88">
        <v>1345.9</v>
      </c>
    </row>
    <row r="89" spans="3:7">
      <c r="C89" s="1" t="s">
        <v>40</v>
      </c>
      <c r="D89" t="s">
        <v>16</v>
      </c>
      <c r="E89">
        <v>294</v>
      </c>
      <c r="F89">
        <v>259.39999999999998</v>
      </c>
      <c r="G89">
        <v>534.1</v>
      </c>
    </row>
  </sheetData>
  <mergeCells count="24">
    <mergeCell ref="C42:C44"/>
    <mergeCell ref="C3:C4"/>
    <mergeCell ref="C6:C8"/>
    <mergeCell ref="C9:C11"/>
    <mergeCell ref="C14:C15"/>
    <mergeCell ref="C17:C19"/>
    <mergeCell ref="C20:C22"/>
    <mergeCell ref="C25:C26"/>
    <mergeCell ref="C28:C30"/>
    <mergeCell ref="C31:C33"/>
    <mergeCell ref="C36:C37"/>
    <mergeCell ref="C39:C41"/>
    <mergeCell ref="C86:C88"/>
    <mergeCell ref="C47:C48"/>
    <mergeCell ref="C50:C52"/>
    <mergeCell ref="C53:C55"/>
    <mergeCell ref="C58:C59"/>
    <mergeCell ref="C61:C63"/>
    <mergeCell ref="C64:C66"/>
    <mergeCell ref="C69:C70"/>
    <mergeCell ref="C72:C74"/>
    <mergeCell ref="C75:C77"/>
    <mergeCell ref="C80:C81"/>
    <mergeCell ref="C83:C85"/>
  </mergeCells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9B15F-BEA4-2E46-9932-83FB0C889D00}">
  <dimension ref="A1:J34"/>
  <sheetViews>
    <sheetView workbookViewId="0">
      <selection activeCell="D5" sqref="D5"/>
    </sheetView>
  </sheetViews>
  <sheetFormatPr baseColWidth="10" defaultRowHeight="18" outlineLevelCol="1"/>
  <cols>
    <col min="1" max="1" width="11.42578125" customWidth="1"/>
    <col min="2" max="7" width="15.7109375" customWidth="1"/>
    <col min="9" max="10" width="10.7109375" outlineLevel="1"/>
  </cols>
  <sheetData>
    <row r="1" spans="1:10" ht="20">
      <c r="A1" s="2" t="s">
        <v>22</v>
      </c>
    </row>
    <row r="3" spans="1:10">
      <c r="A3" s="3" t="s">
        <v>23</v>
      </c>
    </row>
    <row r="4" spans="1:10">
      <c r="A4" s="4" t="s">
        <v>0</v>
      </c>
      <c r="B4" s="4" t="s">
        <v>20</v>
      </c>
      <c r="C4" s="4" t="s">
        <v>17</v>
      </c>
      <c r="D4" s="4" t="s">
        <v>24</v>
      </c>
      <c r="E4" s="4" t="s">
        <v>37</v>
      </c>
      <c r="F4" s="4" t="s">
        <v>38</v>
      </c>
      <c r="G4" s="4" t="s">
        <v>39</v>
      </c>
      <c r="I4" s="4" t="s">
        <v>25</v>
      </c>
      <c r="J4" s="4" t="s">
        <v>26</v>
      </c>
    </row>
    <row r="5" spans="1:10">
      <c r="A5" t="s">
        <v>29</v>
      </c>
      <c r="B5" s="6">
        <f ca="1">SUM(OFFSET(latency!$A$1,$I5+1,$J5),OFFSET(latency!$A$1,$I5+2,$J5),OFFSET(latency!$A$1,$I5+7,$J5),OFFSET(latency!$A$1,$I5+8,$J5),OFFSET(latency!$A$1,$I5+9,$J5))</f>
        <v>344.3</v>
      </c>
      <c r="C5" s="6">
        <f ca="1">OFFSET(latency!$A$1,$I5+3,$J5)</f>
        <v>77.599999999999994</v>
      </c>
      <c r="D5" s="6">
        <f ca="1">SUM(OFFSET(latency!$A$1,$I5+4,$J5),OFFSET(latency!$A$1,$I5+5,$J5),OFFSET(latency!$A$1,$I5+6,$J5))</f>
        <v>343.20000000000005</v>
      </c>
      <c r="E5" s="6">
        <f ca="1">OFFSET(latency!$A$1,$I5+10,$J5)</f>
        <v>21.6</v>
      </c>
      <c r="F5" s="6">
        <f ca="1">SUM(B5:E5)</f>
        <v>786.7</v>
      </c>
      <c r="G5" s="6">
        <f ca="1">OFFSET(latency!$A$1,$I5,$J5)</f>
        <v>786.8</v>
      </c>
      <c r="I5" s="5">
        <v>1</v>
      </c>
      <c r="J5" s="5">
        <v>4</v>
      </c>
    </row>
    <row r="6" spans="1:10">
      <c r="A6" t="s">
        <v>30</v>
      </c>
      <c r="B6" s="6">
        <f ca="1">SUM(OFFSET(latency!$A$1,$I6+1,$J6),OFFSET(latency!$A$1,$I6+2,$J6),OFFSET(latency!$A$1,$I6+7,$J6),OFFSET(latency!$A$1,$I6+8,$J6),OFFSET(latency!$A$1,$I6+9,$J6))</f>
        <v>856.90000000000009</v>
      </c>
      <c r="C6" s="6">
        <f ca="1">OFFSET(latency!$A$1,$I6+3,$J6)</f>
        <v>76.400000000000006</v>
      </c>
      <c r="D6" s="6">
        <f ca="1">SUM(OFFSET(latency!$A$1,$I6+4,$J6),OFFSET(latency!$A$1,$I6+5,$J6),OFFSET(latency!$A$1,$I6+6,$J6))</f>
        <v>312.5</v>
      </c>
      <c r="E6" s="6">
        <f ca="1">OFFSET(latency!$A$1,$I6+10,$J6)</f>
        <v>27.3</v>
      </c>
      <c r="F6" s="6">
        <f t="shared" ref="F6:F12" ca="1" si="0">SUM(B6:E6)</f>
        <v>1273.1000000000001</v>
      </c>
      <c r="G6" s="6">
        <f ca="1">OFFSET(latency!$A$1,$I6,$J6)</f>
        <v>738.9</v>
      </c>
      <c r="I6" s="5">
        <v>12</v>
      </c>
      <c r="J6" s="5">
        <v>4</v>
      </c>
    </row>
    <row r="7" spans="1:10">
      <c r="A7" t="s">
        <v>31</v>
      </c>
      <c r="B7" s="6">
        <f ca="1">SUM(OFFSET(latency!$A$1,$I7+1,$J7),OFFSET(latency!$A$1,$I7+2,$J7),OFFSET(latency!$A$1,$I7+7,$J7),OFFSET(latency!$A$1,$I7+8,$J7),OFFSET(latency!$A$1,$I7+9,$J7))</f>
        <v>952.9</v>
      </c>
      <c r="C7" s="6">
        <f ca="1">OFFSET(latency!$A$1,$I7+3,$J7)</f>
        <v>89.2</v>
      </c>
      <c r="D7" s="6">
        <f ca="1">SUM(OFFSET(latency!$A$1,$I7+4,$J7),OFFSET(latency!$A$1,$I7+5,$J7),OFFSET(latency!$A$1,$I7+6,$J7))</f>
        <v>350.3</v>
      </c>
      <c r="E7" s="6">
        <f ca="1">OFFSET(latency!$A$1,$I7+10,$J7)</f>
        <v>28.5</v>
      </c>
      <c r="F7" s="6">
        <f t="shared" ca="1" si="0"/>
        <v>1420.8999999999999</v>
      </c>
      <c r="G7" s="6">
        <f ca="1">OFFSET(latency!$A$1,$I7,$J7)</f>
        <v>835.1</v>
      </c>
      <c r="I7" s="5">
        <v>23</v>
      </c>
      <c r="J7" s="5">
        <v>4</v>
      </c>
    </row>
    <row r="8" spans="1:10">
      <c r="A8" t="s">
        <v>32</v>
      </c>
      <c r="B8" s="6">
        <f ca="1">SUM(OFFSET(latency!$A$1,$I8+1,$J8),OFFSET(latency!$A$1,$I8+2,$J8),OFFSET(latency!$A$1,$I8+7,$J8),OFFSET(latency!$A$1,$I8+8,$J8),OFFSET(latency!$A$1,$I8+9,$J8))</f>
        <v>888.6</v>
      </c>
      <c r="C8" s="6">
        <f ca="1">OFFSET(latency!$A$1,$I8+3,$J8)</f>
        <v>108.1</v>
      </c>
      <c r="D8" s="6">
        <f ca="1">SUM(OFFSET(latency!$A$1,$I8+4,$J8),OFFSET(latency!$A$1,$I8+5,$J8),OFFSET(latency!$A$1,$I8+6,$J8))</f>
        <v>284.7</v>
      </c>
      <c r="E8" s="6">
        <f ca="1">OFFSET(latency!$A$1,$I8+10,$J8)</f>
        <v>47.5</v>
      </c>
      <c r="F8" s="6">
        <f t="shared" ca="1" si="0"/>
        <v>1328.9</v>
      </c>
      <c r="G8" s="6">
        <f ca="1">OFFSET(latency!$A$1,$I8,$J8)</f>
        <v>786.6</v>
      </c>
      <c r="I8" s="5">
        <v>34</v>
      </c>
      <c r="J8" s="5">
        <v>4</v>
      </c>
    </row>
    <row r="9" spans="1:10">
      <c r="A9" t="s">
        <v>33</v>
      </c>
      <c r="B9" s="6">
        <f ca="1">SUM(OFFSET(latency!$A$1,$I9+1,$J9),OFFSET(latency!$A$1,$I9+2,$J9),OFFSET(latency!$A$1,$I9+7,$J9),OFFSET(latency!$A$1,$I9+8,$J9),OFFSET(latency!$A$1,$I9+9,$J9))</f>
        <v>1063.3</v>
      </c>
      <c r="C9" s="6">
        <f ca="1">OFFSET(latency!$A$1,$I9+3,$J9)</f>
        <v>111.3</v>
      </c>
      <c r="D9" s="6">
        <f ca="1">SUM(OFFSET(latency!$A$1,$I9+4,$J9),OFFSET(latency!$A$1,$I9+5,$J9),OFFSET(latency!$A$1,$I9+6,$J9))</f>
        <v>384.4</v>
      </c>
      <c r="E9" s="6">
        <f ca="1">OFFSET(latency!$A$1,$I9+10,$J9)</f>
        <v>71.5</v>
      </c>
      <c r="F9" s="6">
        <f t="shared" ca="1" si="0"/>
        <v>1630.5</v>
      </c>
      <c r="G9" s="6">
        <f ca="1">OFFSET(latency!$A$1,$I9,$J9)</f>
        <v>982.6</v>
      </c>
      <c r="I9" s="5">
        <v>45</v>
      </c>
      <c r="J9" s="5">
        <v>4</v>
      </c>
    </row>
    <row r="10" spans="1:10">
      <c r="A10" t="s">
        <v>34</v>
      </c>
      <c r="B10" s="6">
        <f ca="1">SUM(OFFSET(latency!$A$1,$I10+1,$J10),OFFSET(latency!$A$1,$I10+2,$J10),OFFSET(latency!$A$1,$I10+7,$J10),OFFSET(latency!$A$1,$I10+8,$J10),OFFSET(latency!$A$1,$I10+9,$J10))</f>
        <v>1127.0999999999999</v>
      </c>
      <c r="C10" s="6">
        <f ca="1">OFFSET(latency!$A$1,$I10+3,$J10)</f>
        <v>138.5</v>
      </c>
      <c r="D10" s="6">
        <f ca="1">SUM(OFFSET(latency!$A$1,$I10+4,$J10),OFFSET(latency!$A$1,$I10+5,$J10),OFFSET(latency!$A$1,$I10+6,$J10))</f>
        <v>378.9</v>
      </c>
      <c r="E10" s="6">
        <f ca="1">OFFSET(latency!$A$1,$I10+10,$J10)</f>
        <v>111.8</v>
      </c>
      <c r="F10" s="6">
        <f t="shared" ca="1" si="0"/>
        <v>1756.3</v>
      </c>
      <c r="G10" s="6">
        <f ca="1">OFFSET(latency!$A$1,$I10,$J10)</f>
        <v>1079.5</v>
      </c>
      <c r="I10" s="5">
        <v>56</v>
      </c>
      <c r="J10" s="5">
        <v>4</v>
      </c>
    </row>
    <row r="11" spans="1:10">
      <c r="A11" t="s">
        <v>35</v>
      </c>
      <c r="B11" s="6">
        <f ca="1">SUM(OFFSET(latency!$A$1,$I11+1,$J11),OFFSET(latency!$A$1,$I11+2,$J11),OFFSET(latency!$A$1,$I11+7,$J11),OFFSET(latency!$A$1,$I11+8,$J11),OFFSET(latency!$A$1,$I11+9,$J11))</f>
        <v>1382.8</v>
      </c>
      <c r="C11" s="6">
        <f ca="1">OFFSET(latency!$A$1,$I11+3,$J11)</f>
        <v>158.9</v>
      </c>
      <c r="D11" s="6">
        <f ca="1">SUM(OFFSET(latency!$A$1,$I11+4,$J11),OFFSET(latency!$A$1,$I11+5,$J11),OFFSET(latency!$A$1,$I11+6,$J11))</f>
        <v>504.79999999999995</v>
      </c>
      <c r="E11" s="6">
        <f ca="1">OFFSET(latency!$A$1,$I11+10,$J11)</f>
        <v>190.7</v>
      </c>
      <c r="F11" s="6">
        <f t="shared" ca="1" si="0"/>
        <v>2237.1999999999998</v>
      </c>
      <c r="G11" s="6">
        <f ca="1">OFFSET(latency!$A$1,$I11,$J11)</f>
        <v>1417.8</v>
      </c>
      <c r="I11" s="5">
        <v>67</v>
      </c>
      <c r="J11" s="5">
        <v>4</v>
      </c>
    </row>
    <row r="12" spans="1:10">
      <c r="A12" t="s">
        <v>36</v>
      </c>
      <c r="B12" s="6">
        <f ca="1">SUM(OFFSET(latency!$A$1,$I12+1,$J12),OFFSET(latency!$A$1,$I12+2,$J12),OFFSET(latency!$A$1,$I12+7,$J12),OFFSET(latency!$A$1,$I12+8,$J12),OFFSET(latency!$A$1,$I12+9,$J12))</f>
        <v>1765.9</v>
      </c>
      <c r="C12" s="6">
        <f ca="1">OFFSET(latency!$A$1,$I12+3,$J12)</f>
        <v>176.8</v>
      </c>
      <c r="D12" s="6">
        <f ca="1">SUM(OFFSET(latency!$A$1,$I12+4,$J12),OFFSET(latency!$A$1,$I12+5,$J12),OFFSET(latency!$A$1,$I12+6,$J12))</f>
        <v>701.59999999999991</v>
      </c>
      <c r="E12" s="6">
        <f ca="1">OFFSET(latency!$A$1,$I12+10,$J12)</f>
        <v>294</v>
      </c>
      <c r="F12" s="6">
        <f t="shared" ca="1" si="0"/>
        <v>2938.3</v>
      </c>
      <c r="G12" s="6">
        <f ca="1">OFFSET(latency!$A$1,$I12,$J12)</f>
        <v>1914.9</v>
      </c>
      <c r="I12" s="5">
        <v>78</v>
      </c>
      <c r="J12" s="5">
        <v>4</v>
      </c>
    </row>
    <row r="14" spans="1:10">
      <c r="A14" s="3" t="s">
        <v>27</v>
      </c>
    </row>
    <row r="15" spans="1:10">
      <c r="A15" s="4" t="s">
        <v>0</v>
      </c>
      <c r="B15" s="4" t="s">
        <v>20</v>
      </c>
      <c r="C15" s="4" t="s">
        <v>17</v>
      </c>
      <c r="D15" s="4" t="s">
        <v>24</v>
      </c>
      <c r="E15" s="4" t="s">
        <v>37</v>
      </c>
      <c r="F15" s="4" t="s">
        <v>38</v>
      </c>
      <c r="G15" s="4" t="s">
        <v>39</v>
      </c>
      <c r="I15" s="4" t="s">
        <v>25</v>
      </c>
      <c r="J15" s="4" t="s">
        <v>26</v>
      </c>
    </row>
    <row r="16" spans="1:10">
      <c r="A16" t="s">
        <v>29</v>
      </c>
      <c r="B16" s="6">
        <f ca="1">SUM(OFFSET(latency!$A$1,$I16+1,$J16),OFFSET(latency!$A$1,$I16+2,$J16),OFFSET(latency!$A$1,$I16+7,$J16),OFFSET(latency!$A$1,$I16+8,$J16),OFFSET(latency!$A$1,$I16+9,$J16))</f>
        <v>325.7</v>
      </c>
      <c r="C16" s="6">
        <f ca="1">OFFSET(latency!$A$1,$I16+3,$J16)</f>
        <v>61.8</v>
      </c>
      <c r="D16" s="6">
        <f ca="1">SUM(OFFSET(latency!$A$1,$I16+4,$J16),OFFSET(latency!$A$1,$I16+5,$J16),OFFSET(latency!$A$1,$I16+6,$J16))</f>
        <v>321.5</v>
      </c>
      <c r="E16" s="6">
        <f ca="1">OFFSET(latency!$A$1,$I16+10,$J16)</f>
        <v>20</v>
      </c>
      <c r="F16" s="6">
        <f ca="1">SUM(B16:E16)</f>
        <v>729</v>
      </c>
      <c r="G16" s="6">
        <f ca="1">OFFSET(latency!$A$1,$I16,$J16)</f>
        <v>732.7</v>
      </c>
      <c r="I16" s="5">
        <v>1</v>
      </c>
      <c r="J16" s="5">
        <v>5</v>
      </c>
    </row>
    <row r="17" spans="1:10">
      <c r="A17" t="s">
        <v>30</v>
      </c>
      <c r="B17" s="6">
        <f ca="1">SUM(OFFSET(latency!$A$1,$I17+1,$J17),OFFSET(latency!$A$1,$I17+2,$J17),OFFSET(latency!$A$1,$I17+7,$J17),OFFSET(latency!$A$1,$I17+8,$J17),OFFSET(latency!$A$1,$I17+9,$J17))</f>
        <v>817.39999999999986</v>
      </c>
      <c r="C17" s="6">
        <f ca="1">OFFSET(latency!$A$1,$I17+3,$J17)</f>
        <v>60.4</v>
      </c>
      <c r="D17" s="6">
        <f ca="1">SUM(OFFSET(latency!$A$1,$I17+4,$J17),OFFSET(latency!$A$1,$I17+5,$J17),OFFSET(latency!$A$1,$I17+6,$J17))</f>
        <v>299.10000000000002</v>
      </c>
      <c r="E17" s="6">
        <f ca="1">OFFSET(latency!$A$1,$I17+10,$J17)</f>
        <v>19.899999999999999</v>
      </c>
      <c r="F17" s="6">
        <f t="shared" ref="F17:F23" ca="1" si="1">SUM(B17:E17)</f>
        <v>1196.8</v>
      </c>
      <c r="G17" s="6">
        <f ca="1">OFFSET(latency!$A$1,$I17,$J17)</f>
        <v>709</v>
      </c>
      <c r="I17" s="5">
        <v>12</v>
      </c>
      <c r="J17" s="5">
        <v>5</v>
      </c>
    </row>
    <row r="18" spans="1:10">
      <c r="A18" t="s">
        <v>31</v>
      </c>
      <c r="B18" s="6">
        <f ca="1">SUM(OFFSET(latency!$A$1,$I18+1,$J18),OFFSET(latency!$A$1,$I18+2,$J18),OFFSET(latency!$A$1,$I18+7,$J18),OFFSET(latency!$A$1,$I18+8,$J18),OFFSET(latency!$A$1,$I18+9,$J18))</f>
        <v>861.8</v>
      </c>
      <c r="C18" s="6">
        <f ca="1">OFFSET(latency!$A$1,$I18+3,$J18)</f>
        <v>65.400000000000006</v>
      </c>
      <c r="D18" s="6">
        <f ca="1">SUM(OFFSET(latency!$A$1,$I18+4,$J18),OFFSET(latency!$A$1,$I18+5,$J18),OFFSET(latency!$A$1,$I18+6,$J18))</f>
        <v>330.79999999999995</v>
      </c>
      <c r="E18" s="6">
        <f ca="1">OFFSET(latency!$A$1,$I18+10,$J18)</f>
        <v>20.5</v>
      </c>
      <c r="F18" s="6">
        <f t="shared" ca="1" si="1"/>
        <v>1278.5</v>
      </c>
      <c r="G18" s="6">
        <f ca="1">OFFSET(latency!$A$1,$I18,$J18)</f>
        <v>759.2</v>
      </c>
      <c r="I18" s="5">
        <v>23</v>
      </c>
      <c r="J18" s="5">
        <v>5</v>
      </c>
    </row>
    <row r="19" spans="1:10">
      <c r="A19" t="s">
        <v>32</v>
      </c>
      <c r="B19" s="6">
        <f ca="1">SUM(OFFSET(latency!$A$1,$I19+1,$J19),OFFSET(latency!$A$1,$I19+2,$J19),OFFSET(latency!$A$1,$I19+7,$J19),OFFSET(latency!$A$1,$I19+8,$J19),OFFSET(latency!$A$1,$I19+9,$J19))</f>
        <v>863.3</v>
      </c>
      <c r="C19" s="6">
        <f ca="1">OFFSET(latency!$A$1,$I19+3,$J19)</f>
        <v>71.099999999999994</v>
      </c>
      <c r="D19" s="6">
        <f ca="1">SUM(OFFSET(latency!$A$1,$I19+4,$J19),OFFSET(latency!$A$1,$I19+5,$J19),OFFSET(latency!$A$1,$I19+6,$J19))</f>
        <v>270</v>
      </c>
      <c r="E19" s="6">
        <f ca="1">OFFSET(latency!$A$1,$I19+10,$J19)</f>
        <v>57.5</v>
      </c>
      <c r="F19" s="6">
        <f t="shared" ca="1" si="1"/>
        <v>1261.9000000000001</v>
      </c>
      <c r="G19" s="6">
        <f ca="1">OFFSET(latency!$A$1,$I19,$J19)</f>
        <v>756.6</v>
      </c>
      <c r="I19" s="5">
        <v>34</v>
      </c>
      <c r="J19" s="5">
        <v>5</v>
      </c>
    </row>
    <row r="20" spans="1:10">
      <c r="A20" t="s">
        <v>33</v>
      </c>
      <c r="B20" s="6">
        <f ca="1">SUM(OFFSET(latency!$A$1,$I20+1,$J20),OFFSET(latency!$A$1,$I20+2,$J20),OFFSET(latency!$A$1,$I20+7,$J20),OFFSET(latency!$A$1,$I20+8,$J20),OFFSET(latency!$A$1,$I20+9,$J20))</f>
        <v>1105.8</v>
      </c>
      <c r="C20" s="6">
        <f ca="1">OFFSET(latency!$A$1,$I20+3,$J20)</f>
        <v>127.4</v>
      </c>
      <c r="D20" s="6">
        <f ca="1">SUM(OFFSET(latency!$A$1,$I20+4,$J20),OFFSET(latency!$A$1,$I20+5,$J20),OFFSET(latency!$A$1,$I20+6,$J20))</f>
        <v>362.70000000000005</v>
      </c>
      <c r="E20" s="6">
        <f ca="1">OFFSET(latency!$A$1,$I20+10,$J20)</f>
        <v>88.4</v>
      </c>
      <c r="F20" s="6">
        <f t="shared" ca="1" si="1"/>
        <v>1684.3000000000002</v>
      </c>
      <c r="G20" s="6">
        <f ca="1">OFFSET(latency!$A$1,$I20,$J20)</f>
        <v>1004.5</v>
      </c>
      <c r="I20" s="5">
        <v>45</v>
      </c>
      <c r="J20" s="5">
        <v>5</v>
      </c>
    </row>
    <row r="21" spans="1:10">
      <c r="A21" t="s">
        <v>34</v>
      </c>
      <c r="B21" s="6">
        <f ca="1">SUM(OFFSET(latency!$A$1,$I21+1,$J21),OFFSET(latency!$A$1,$I21+2,$J21),OFFSET(latency!$A$1,$I21+7,$J21),OFFSET(latency!$A$1,$I21+8,$J21),OFFSET(latency!$A$1,$I21+9,$J21))</f>
        <v>1166.4000000000001</v>
      </c>
      <c r="C21" s="6">
        <f ca="1">OFFSET(latency!$A$1,$I21+3,$J21)</f>
        <v>136.6</v>
      </c>
      <c r="D21" s="6">
        <f ca="1">SUM(OFFSET(latency!$A$1,$I21+4,$J21),OFFSET(latency!$A$1,$I21+5,$J21),OFFSET(latency!$A$1,$I21+6,$J21))</f>
        <v>356.6</v>
      </c>
      <c r="E21" s="6">
        <f ca="1">OFFSET(latency!$A$1,$I21+10,$J21)</f>
        <v>118.7</v>
      </c>
      <c r="F21" s="6">
        <f t="shared" ca="1" si="1"/>
        <v>1778.3</v>
      </c>
      <c r="G21" s="6">
        <f ca="1">OFFSET(latency!$A$1,$I21,$J21)</f>
        <v>1098.5999999999999</v>
      </c>
      <c r="I21" s="5">
        <v>56</v>
      </c>
      <c r="J21" s="5">
        <v>5</v>
      </c>
    </row>
    <row r="22" spans="1:10">
      <c r="A22" t="s">
        <v>35</v>
      </c>
      <c r="B22" s="6">
        <f ca="1">SUM(OFFSET(latency!$A$1,$I22+1,$J22),OFFSET(latency!$A$1,$I22+2,$J22),OFFSET(latency!$A$1,$I22+7,$J22),OFFSET(latency!$A$1,$I22+8,$J22),OFFSET(latency!$A$1,$I22+9,$J22))</f>
        <v>1307.5</v>
      </c>
      <c r="C22" s="6">
        <f ca="1">OFFSET(latency!$A$1,$I22+3,$J22)</f>
        <v>177.3</v>
      </c>
      <c r="D22" s="6">
        <f ca="1">SUM(OFFSET(latency!$A$1,$I22+4,$J22),OFFSET(latency!$A$1,$I22+5,$J22),OFFSET(latency!$A$1,$I22+6,$J22))</f>
        <v>507.5</v>
      </c>
      <c r="E22" s="6">
        <f ca="1">OFFSET(latency!$A$1,$I22+10,$J22)</f>
        <v>178.3</v>
      </c>
      <c r="F22" s="6">
        <f t="shared" ca="1" si="1"/>
        <v>2170.6</v>
      </c>
      <c r="G22" s="6">
        <f ca="1">OFFSET(latency!$A$1,$I22,$J22)</f>
        <v>1391.6</v>
      </c>
      <c r="I22" s="5">
        <v>67</v>
      </c>
      <c r="J22" s="5">
        <v>5</v>
      </c>
    </row>
    <row r="23" spans="1:10">
      <c r="A23" t="s">
        <v>36</v>
      </c>
      <c r="B23" s="6">
        <f ca="1">SUM(OFFSET(latency!$A$1,$I23+1,$J23),OFFSET(latency!$A$1,$I23+2,$J23),OFFSET(latency!$A$1,$I23+7,$J23),OFFSET(latency!$A$1,$I23+8,$J23),OFFSET(latency!$A$1,$I23+9,$J23))</f>
        <v>1724.1999999999998</v>
      </c>
      <c r="C23" s="6">
        <f ca="1">OFFSET(latency!$A$1,$I23+3,$J23)</f>
        <v>187.7</v>
      </c>
      <c r="D23" s="6">
        <f ca="1">SUM(OFFSET(latency!$A$1,$I23+4,$J23),OFFSET(latency!$A$1,$I23+5,$J23),OFFSET(latency!$A$1,$I23+6,$J23))</f>
        <v>715.6</v>
      </c>
      <c r="E23" s="6">
        <f ca="1">OFFSET(latency!$A$1,$I23+10,$J23)</f>
        <v>259.39999999999998</v>
      </c>
      <c r="F23" s="6">
        <f t="shared" ca="1" si="1"/>
        <v>2886.9</v>
      </c>
      <c r="G23" s="6">
        <f ca="1">OFFSET(latency!$A$1,$I23,$J23)</f>
        <v>1897.7</v>
      </c>
      <c r="I23" s="5">
        <v>78</v>
      </c>
      <c r="J23" s="5">
        <v>5</v>
      </c>
    </row>
    <row r="25" spans="1:10">
      <c r="A25" s="3" t="s">
        <v>28</v>
      </c>
    </row>
    <row r="26" spans="1:10">
      <c r="A26" s="4" t="s">
        <v>0</v>
      </c>
      <c r="B26" s="4" t="s">
        <v>20</v>
      </c>
      <c r="C26" s="4" t="s">
        <v>17</v>
      </c>
      <c r="D26" s="4" t="s">
        <v>24</v>
      </c>
      <c r="E26" s="4" t="s">
        <v>37</v>
      </c>
      <c r="F26" s="4" t="s">
        <v>38</v>
      </c>
      <c r="G26" s="4" t="s">
        <v>39</v>
      </c>
      <c r="I26" s="4" t="s">
        <v>25</v>
      </c>
      <c r="J26" s="4" t="s">
        <v>26</v>
      </c>
    </row>
    <row r="27" spans="1:10">
      <c r="A27" t="s">
        <v>29</v>
      </c>
      <c r="B27" s="6">
        <f ca="1">SUM(OFFSET(latency!$A$1,$I27+1,$J27),OFFSET(latency!$A$1,$I27+2,$J27),OFFSET(latency!$A$1,$I27+7,$J27),OFFSET(latency!$A$1,$I27+8,$J27),OFFSET(latency!$A$1,$I27+9,$J27))</f>
        <v>660.09999999999991</v>
      </c>
      <c r="C27" s="6">
        <f ca="1">OFFSET(latency!$A$1,$I27+3,$J27)</f>
        <v>199</v>
      </c>
      <c r="D27" s="6">
        <f ca="1">SUM(OFFSET(latency!$A$1,$I27+4,$J27),OFFSET(latency!$A$1,$I27+5,$J27),OFFSET(latency!$A$1,$I27+6,$J27))</f>
        <v>591.79999999999995</v>
      </c>
      <c r="E27" s="6">
        <f ca="1">OFFSET(latency!$A$1,$I27+10,$J27)</f>
        <v>66.2</v>
      </c>
      <c r="F27" s="6">
        <f ca="1">SUM(B27:E27)</f>
        <v>1517.1</v>
      </c>
      <c r="G27" s="6">
        <f ca="1">OFFSET(latency!$A$1,$I27,$J27)</f>
        <v>1127.9000000000001</v>
      </c>
      <c r="I27" s="5">
        <v>1</v>
      </c>
      <c r="J27" s="5">
        <v>6</v>
      </c>
    </row>
    <row r="28" spans="1:10">
      <c r="A28" t="s">
        <v>30</v>
      </c>
      <c r="B28" s="6">
        <f ca="1">SUM(OFFSET(latency!$A$1,$I28+1,$J28),OFFSET(latency!$A$1,$I28+2,$J28),OFFSET(latency!$A$1,$I28+7,$J28),OFFSET(latency!$A$1,$I28+8,$J28),OFFSET(latency!$A$1,$I28+9,$J28))</f>
        <v>1435.7</v>
      </c>
      <c r="C28" s="6">
        <f ca="1">OFFSET(latency!$A$1,$I28+3,$J28)</f>
        <v>196.9</v>
      </c>
      <c r="D28" s="6">
        <f ca="1">SUM(OFFSET(latency!$A$1,$I28+4,$J28),OFFSET(latency!$A$1,$I28+5,$J28),OFFSET(latency!$A$1,$I28+6,$J28))</f>
        <v>559.5</v>
      </c>
      <c r="E28" s="6">
        <f ca="1">OFFSET(latency!$A$1,$I28+10,$J28)</f>
        <v>56.3</v>
      </c>
      <c r="F28" s="6">
        <f t="shared" ref="F28:F34" ca="1" si="2">SUM(B28:E28)</f>
        <v>2248.4000000000005</v>
      </c>
      <c r="G28" s="6">
        <f ca="1">OFFSET(latency!$A$1,$I28,$J28)</f>
        <v>1104</v>
      </c>
      <c r="I28" s="5">
        <v>12</v>
      </c>
      <c r="J28" s="5">
        <v>6</v>
      </c>
    </row>
    <row r="29" spans="1:10">
      <c r="A29" t="s">
        <v>31</v>
      </c>
      <c r="B29" s="6">
        <f ca="1">SUM(OFFSET(latency!$A$1,$I29+1,$J29),OFFSET(latency!$A$1,$I29+2,$J29),OFFSET(latency!$A$1,$I29+7,$J29),OFFSET(latency!$A$1,$I29+8,$J29),OFFSET(latency!$A$1,$I29+9,$J29))</f>
        <v>1469.4</v>
      </c>
      <c r="C29" s="6">
        <f ca="1">OFFSET(latency!$A$1,$I29+3,$J29)</f>
        <v>206.2</v>
      </c>
      <c r="D29" s="6">
        <f ca="1">SUM(OFFSET(latency!$A$1,$I29+4,$J29),OFFSET(latency!$A$1,$I29+5,$J29),OFFSET(latency!$A$1,$I29+6,$J29))</f>
        <v>600.1</v>
      </c>
      <c r="E29" s="6">
        <f ca="1">OFFSET(latency!$A$1,$I29+10,$J29)</f>
        <v>55.2</v>
      </c>
      <c r="F29" s="6">
        <f t="shared" ca="1" si="2"/>
        <v>2330.9</v>
      </c>
      <c r="G29" s="6">
        <f ca="1">OFFSET(latency!$A$1,$I29,$J29)</f>
        <v>1164.2</v>
      </c>
      <c r="I29" s="5">
        <v>23</v>
      </c>
      <c r="J29" s="5">
        <v>6</v>
      </c>
    </row>
    <row r="30" spans="1:10">
      <c r="A30" t="s">
        <v>32</v>
      </c>
      <c r="B30" s="6">
        <f ca="1">SUM(OFFSET(latency!$A$1,$I30+1,$J30),OFFSET(latency!$A$1,$I30+2,$J30),OFFSET(latency!$A$1,$I30+7,$J30),OFFSET(latency!$A$1,$I30+8,$J30),OFFSET(latency!$A$1,$I30+9,$J30))</f>
        <v>1432.2</v>
      </c>
      <c r="C30" s="6">
        <f ca="1">OFFSET(latency!$A$1,$I30+3,$J30)</f>
        <v>209.6</v>
      </c>
      <c r="D30" s="6">
        <f ca="1">SUM(OFFSET(latency!$A$1,$I30+4,$J30),OFFSET(latency!$A$1,$I30+5,$J30),OFFSET(latency!$A$1,$I30+6,$J30))</f>
        <v>565.79999999999995</v>
      </c>
      <c r="E30" s="6">
        <f ca="1">OFFSET(latency!$A$1,$I30+10,$J30)</f>
        <v>84.2</v>
      </c>
      <c r="F30" s="6">
        <f t="shared" ca="1" si="2"/>
        <v>2291.7999999999997</v>
      </c>
      <c r="G30" s="6">
        <f ca="1">OFFSET(latency!$A$1,$I30,$J30)</f>
        <v>1119.2</v>
      </c>
      <c r="I30" s="5">
        <v>34</v>
      </c>
      <c r="J30" s="5">
        <v>6</v>
      </c>
    </row>
    <row r="31" spans="1:10">
      <c r="A31" t="s">
        <v>33</v>
      </c>
      <c r="B31" s="6">
        <f ca="1">SUM(OFFSET(latency!$A$1,$I31+1,$J31),OFFSET(latency!$A$1,$I31+2,$J31),OFFSET(latency!$A$1,$I31+7,$J31),OFFSET(latency!$A$1,$I31+8,$J31),OFFSET(latency!$A$1,$I31+9,$J31))</f>
        <v>1614.1</v>
      </c>
      <c r="C31" s="6">
        <f ca="1">OFFSET(latency!$A$1,$I31+3,$J31)</f>
        <v>200.6</v>
      </c>
      <c r="D31" s="6">
        <f ca="1">SUM(OFFSET(latency!$A$1,$I31+4,$J31),OFFSET(latency!$A$1,$I31+5,$J31),OFFSET(latency!$A$1,$I31+6,$J31))</f>
        <v>622.4</v>
      </c>
      <c r="E31" s="6">
        <f ca="1">OFFSET(latency!$A$1,$I31+10,$J31)</f>
        <v>112.7</v>
      </c>
      <c r="F31" s="6">
        <f t="shared" ca="1" si="2"/>
        <v>2549.7999999999997</v>
      </c>
      <c r="G31" s="6">
        <f ca="1">OFFSET(latency!$A$1,$I31,$J31)</f>
        <v>1277.5</v>
      </c>
      <c r="I31" s="5">
        <v>45</v>
      </c>
      <c r="J31" s="5">
        <v>6</v>
      </c>
    </row>
    <row r="32" spans="1:10">
      <c r="A32" t="s">
        <v>34</v>
      </c>
      <c r="B32" s="6">
        <f ca="1">SUM(OFFSET(latency!$A$1,$I32+1,$J32),OFFSET(latency!$A$1,$I32+2,$J32),OFFSET(latency!$A$1,$I32+7,$J32),OFFSET(latency!$A$1,$I32+8,$J32),OFFSET(latency!$A$1,$I32+9,$J32))</f>
        <v>1830.4</v>
      </c>
      <c r="C32" s="6">
        <f ca="1">OFFSET(latency!$A$1,$I32+3,$J32)</f>
        <v>210.2</v>
      </c>
      <c r="D32" s="6">
        <f ca="1">SUM(OFFSET(latency!$A$1,$I32+4,$J32),OFFSET(latency!$A$1,$I32+5,$J32),OFFSET(latency!$A$1,$I32+6,$J32))</f>
        <v>627.4</v>
      </c>
      <c r="E32" s="6">
        <f ca="1">OFFSET(latency!$A$1,$I32+10,$J32)</f>
        <v>180.3</v>
      </c>
      <c r="F32" s="6">
        <f t="shared" ca="1" si="2"/>
        <v>2848.3</v>
      </c>
      <c r="G32" s="6">
        <f ca="1">OFFSET(latency!$A$1,$I32,$J32)</f>
        <v>1473.5</v>
      </c>
      <c r="I32" s="5">
        <v>56</v>
      </c>
      <c r="J32" s="5">
        <v>6</v>
      </c>
    </row>
    <row r="33" spans="1:10">
      <c r="A33" t="s">
        <v>35</v>
      </c>
      <c r="B33" s="6">
        <f ca="1">SUM(OFFSET(latency!$A$1,$I33+1,$J33),OFFSET(latency!$A$1,$I33+2,$J33),OFFSET(latency!$A$1,$I33+7,$J33),OFFSET(latency!$A$1,$I33+8,$J33),OFFSET(latency!$A$1,$I33+9,$J33))</f>
        <v>2114.5</v>
      </c>
      <c r="C33" s="6">
        <f ca="1">OFFSET(latency!$A$1,$I33+3,$J33)</f>
        <v>214.5</v>
      </c>
      <c r="D33" s="6">
        <f ca="1">SUM(OFFSET(latency!$A$1,$I33+4,$J33),OFFSET(latency!$A$1,$I33+5,$J33),OFFSET(latency!$A$1,$I33+6,$J33))</f>
        <v>811.1</v>
      </c>
      <c r="E33" s="6">
        <f ca="1">OFFSET(latency!$A$1,$I33+10,$J33)</f>
        <v>322.7</v>
      </c>
      <c r="F33" s="6">
        <f t="shared" ca="1" si="2"/>
        <v>3462.7999999999997</v>
      </c>
      <c r="G33" s="6">
        <f ca="1">OFFSET(latency!$A$1,$I33,$J33)</f>
        <v>1868.1</v>
      </c>
      <c r="I33" s="5">
        <v>67</v>
      </c>
      <c r="J33" s="5">
        <v>6</v>
      </c>
    </row>
    <row r="34" spans="1:10">
      <c r="A34" t="s">
        <v>36</v>
      </c>
      <c r="B34" s="6">
        <f ca="1">SUM(OFFSET(latency!$A$1,$I34+1,$J34),OFFSET(latency!$A$1,$I34+2,$J34),OFFSET(latency!$A$1,$I34+7,$J34),OFFSET(latency!$A$1,$I34+8,$J34),OFFSET(latency!$A$1,$I34+9,$J34))</f>
        <v>2584.9</v>
      </c>
      <c r="C34" s="6">
        <f ca="1">OFFSET(latency!$A$1,$I34+3,$J34)</f>
        <v>230.5</v>
      </c>
      <c r="D34" s="6">
        <f ca="1">SUM(OFFSET(latency!$A$1,$I34+4,$J34),OFFSET(latency!$A$1,$I34+5,$J34),OFFSET(latency!$A$1,$I34+6,$J34))</f>
        <v>998.3</v>
      </c>
      <c r="E34" s="6">
        <f ca="1">OFFSET(latency!$A$1,$I34+10,$J34)</f>
        <v>534.1</v>
      </c>
      <c r="F34" s="6">
        <f t="shared" ca="1" si="2"/>
        <v>4347.8</v>
      </c>
      <c r="G34" s="6">
        <f ca="1">OFFSET(latency!$A$1,$I34,$J34)</f>
        <v>2420.1</v>
      </c>
      <c r="I34" s="5">
        <v>78</v>
      </c>
      <c r="J34" s="5">
        <v>6</v>
      </c>
    </row>
  </sheetData>
  <phoneticPr fontId="18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latency</vt:lpstr>
      <vt:lpstr>chart_data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송종찬</dc:creator>
  <cp:lastModifiedBy>송종찬</cp:lastModifiedBy>
  <dcterms:created xsi:type="dcterms:W3CDTF">2026-09-17T03:49:45Z</dcterms:created>
  <dcterms:modified xsi:type="dcterms:W3CDTF">2026-09-17T10:07:36Z</dcterms:modified>
</cp:coreProperties>
</file>