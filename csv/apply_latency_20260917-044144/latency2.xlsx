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jongchan/Desktop/dicl/raftof/Raft-oF_PRIVATE/csv/apply_latency_20260917-044144/"/>
    </mc:Choice>
  </mc:AlternateContent>
  <xr:revisionPtr revIDLastSave="0" documentId="13_ncr:9_{53CF586A-DB64-9849-B14A-64A46BB3FC95}" xr6:coauthVersionLast="47" xr6:coauthVersionMax="47" xr10:uidLastSave="{00000000-0000-0000-0000-000000000000}"/>
  <bookViews>
    <workbookView xWindow="7620" yWindow="600" windowWidth="30780" windowHeight="19660" xr2:uid="{24F7EC61-5565-B24B-84BF-C14323A50425}"/>
  </bookViews>
  <sheets>
    <sheet name="latenc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K3" i="2"/>
  <c r="J3" i="2"/>
  <c r="I3" i="2"/>
  <c r="H3" i="2"/>
  <c r="G3" i="2"/>
  <c r="F3" i="2"/>
  <c r="L2" i="2"/>
  <c r="K2" i="2"/>
  <c r="J2" i="2"/>
  <c r="I2" i="2"/>
  <c r="H2" i="2"/>
  <c r="G2" i="2"/>
  <c r="F2" i="2"/>
  <c r="O32" i="1" l="1"/>
  <c r="O31" i="1"/>
  <c r="O30" i="1"/>
  <c r="O29" i="1"/>
  <c r="O28" i="1"/>
  <c r="O27" i="1"/>
  <c r="O26" i="1"/>
  <c r="O25" i="1"/>
  <c r="O21" i="1"/>
  <c r="O20" i="1"/>
  <c r="O19" i="1"/>
  <c r="O18" i="1"/>
  <c r="O17" i="1"/>
  <c r="O16" i="1"/>
  <c r="O15" i="1"/>
  <c r="O14" i="1"/>
  <c r="O10" i="1"/>
  <c r="O9" i="1"/>
  <c r="O8" i="1"/>
  <c r="O7" i="1"/>
  <c r="O6" i="1"/>
  <c r="O5" i="1"/>
  <c r="O4" i="1"/>
  <c r="O3" i="1"/>
  <c r="K32" i="1"/>
  <c r="K31" i="1"/>
  <c r="K30" i="1"/>
  <c r="K29" i="1"/>
  <c r="K28" i="1"/>
  <c r="K27" i="1"/>
  <c r="K26" i="1"/>
  <c r="K25" i="1"/>
  <c r="K21" i="1"/>
  <c r="K20" i="1"/>
  <c r="K19" i="1"/>
  <c r="K18" i="1"/>
  <c r="K17" i="1"/>
  <c r="K16" i="1"/>
  <c r="K15" i="1"/>
  <c r="K14" i="1"/>
  <c r="K10" i="1"/>
  <c r="K9" i="1"/>
  <c r="K8" i="1"/>
  <c r="K7" i="1"/>
  <c r="K6" i="1"/>
  <c r="K5" i="1"/>
  <c r="K4" i="1"/>
  <c r="K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</calcChain>
</file>

<file path=xl/sharedStrings.xml><?xml version="1.0" encoding="utf-8"?>
<sst xmlns="http://schemas.openxmlformats.org/spreadsheetml/2006/main" count="175" uniqueCount="32">
  <si>
    <t>size_bytes</t>
  </si>
  <si>
    <t>n_samples</t>
  </si>
  <si>
    <t>term</t>
  </si>
  <si>
    <t>mean_us</t>
  </si>
  <si>
    <t>p50_us</t>
  </si>
  <si>
    <t>p99_us</t>
  </si>
  <si>
    <t>wall_ms</t>
  </si>
  <si>
    <t>busy_retries</t>
  </si>
  <si>
    <t>Total</t>
  </si>
  <si>
    <t>LHandler</t>
  </si>
  <si>
    <t>LPersist</t>
  </si>
  <si>
    <t>AENet</t>
  </si>
  <si>
    <t>FHandler</t>
  </si>
  <si>
    <t>ReplNet</t>
  </si>
  <si>
    <t>StorageIO</t>
  </si>
  <si>
    <t>QuorumWait</t>
  </si>
  <si>
    <t>Mutex</t>
  </si>
  <si>
    <t>CommitWait</t>
  </si>
  <si>
    <t>residual</t>
  </si>
  <si>
    <t>LogAppend</t>
  </si>
  <si>
    <t>LogAppend</t>
    <phoneticPr fontId="18" type="noConversion"/>
  </si>
  <si>
    <t>RPC</t>
  </si>
  <si>
    <t>RPC</t>
    <phoneticPr fontId="18" type="noConversion"/>
  </si>
  <si>
    <t>Replicate</t>
  </si>
  <si>
    <t>Replicate</t>
    <phoneticPr fontId="18" type="noConversion"/>
  </si>
  <si>
    <t>그룹별 누적 요약 (μs) — mean</t>
  </si>
  <si>
    <t>그룹별 누적 요약 (μs) — p50</t>
  </si>
  <si>
    <t>그룹별 누적 요약 (μs) — p99</t>
  </si>
  <si>
    <t>Commit</t>
  </si>
  <si>
    <t>Commit</t>
    <phoneticPr fontId="18" type="noConversion"/>
  </si>
  <si>
    <t>합계</t>
  </si>
  <si>
    <t>Total(원본)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</si>
</sst>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구간별 누적 지연 </a:t>
            </a:r>
            <a:r>
              <a:rPr lang="en-US" altLang="ko-KR"/>
              <a:t>(</a:t>
            </a:r>
            <a:r>
              <a:rPr lang="en" altLang="ko-KR"/>
              <a:t>mean, </a:t>
            </a:r>
            <a:r>
              <a:rPr lang="el-GR" altLang="ko-KR"/>
              <a:t>μ</a:t>
            </a:r>
            <a:r>
              <a:rPr lang="en" altLang="ko-KR"/>
              <a:t>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latency!$L$2</c:f>
              <c:strCache>
                <c:ptCount val="1"/>
                <c:pt idx="0">
                  <c:v>LogAppend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latency!$K$3:$K$10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latency!$L$3:$L$10</c:f>
              <c:numCache>
                <c:formatCode>General</c:formatCode>
                <c:ptCount val="8"/>
                <c:pt idx="0">
                  <c:v>108.1</c:v>
                </c:pt>
                <c:pt idx="1">
                  <c:v>130.1</c:v>
                </c:pt>
                <c:pt idx="2">
                  <c:v>200.7</c:v>
                </c:pt>
                <c:pt idx="3">
                  <c:v>192.1</c:v>
                </c:pt>
                <c:pt idx="4">
                  <c:v>269</c:v>
                </c:pt>
                <c:pt idx="5">
                  <c:v>391.8</c:v>
                </c:pt>
                <c:pt idx="6">
                  <c:v>524.70000000000005</c:v>
                </c:pt>
                <c:pt idx="7">
                  <c:v>727.5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2-3042-BE08-FCAB6F3F7DF7}"/>
            </c:ext>
          </c:extLst>
        </c:ser>
        <c:ser>
          <c:idx val="1"/>
          <c:order val="1"/>
          <c:tx>
            <c:strRef>
              <c:f>latency!$M$2</c:f>
              <c:strCache>
                <c:ptCount val="1"/>
                <c:pt idx="0">
                  <c:v>RPC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latency!$K$3:$K$10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latency!$M$3:$M$10</c:f>
              <c:numCache>
                <c:formatCode>General</c:formatCode>
                <c:ptCount val="8"/>
                <c:pt idx="0">
                  <c:v>62.8</c:v>
                </c:pt>
                <c:pt idx="1">
                  <c:v>60.9</c:v>
                </c:pt>
                <c:pt idx="2">
                  <c:v>91.1</c:v>
                </c:pt>
                <c:pt idx="3">
                  <c:v>89.5</c:v>
                </c:pt>
                <c:pt idx="4">
                  <c:v>83.6</c:v>
                </c:pt>
                <c:pt idx="5">
                  <c:v>169.8</c:v>
                </c:pt>
                <c:pt idx="6">
                  <c:v>185.3</c:v>
                </c:pt>
                <c:pt idx="7">
                  <c:v>215.7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2-3042-BE08-FCAB6F3F7DF7}"/>
            </c:ext>
          </c:extLst>
        </c:ser>
        <c:ser>
          <c:idx val="2"/>
          <c:order val="2"/>
          <c:tx>
            <c:strRef>
              <c:f>latency!$N$2</c:f>
              <c:strCache>
                <c:ptCount val="1"/>
                <c:pt idx="0">
                  <c:v>Replicate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latency!$K$3:$K$10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latency!$N$3:$N$10</c:f>
              <c:numCache>
                <c:formatCode>General</c:formatCode>
                <c:ptCount val="8"/>
                <c:pt idx="0">
                  <c:v>266.5</c:v>
                </c:pt>
                <c:pt idx="1">
                  <c:v>292.89999999999998</c:v>
                </c:pt>
                <c:pt idx="2">
                  <c:v>350.8</c:v>
                </c:pt>
                <c:pt idx="3">
                  <c:v>319.39999999999998</c:v>
                </c:pt>
                <c:pt idx="4">
                  <c:v>438.5</c:v>
                </c:pt>
                <c:pt idx="5">
                  <c:v>506.40000000000003</c:v>
                </c:pt>
                <c:pt idx="6">
                  <c:v>568.1</c:v>
                </c:pt>
                <c:pt idx="7">
                  <c:v>742.2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12-3042-BE08-FCAB6F3F7DF7}"/>
            </c:ext>
          </c:extLst>
        </c:ser>
        <c:ser>
          <c:idx val="3"/>
          <c:order val="3"/>
          <c:tx>
            <c:strRef>
              <c:f>latency!$O$2</c:f>
              <c:strCache>
                <c:ptCount val="1"/>
                <c:pt idx="0">
                  <c:v>Commit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latency!$K$3:$K$10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latency!$O$3:$O$10</c:f>
              <c:numCache>
                <c:formatCode>General</c:formatCode>
                <c:ptCount val="8"/>
                <c:pt idx="0">
                  <c:v>220.9</c:v>
                </c:pt>
                <c:pt idx="1">
                  <c:v>237.8</c:v>
                </c:pt>
                <c:pt idx="2">
                  <c:v>261.7</c:v>
                </c:pt>
                <c:pt idx="3">
                  <c:v>231.8</c:v>
                </c:pt>
                <c:pt idx="4">
                  <c:v>297.39999999999998</c:v>
                </c:pt>
                <c:pt idx="5">
                  <c:v>326.3</c:v>
                </c:pt>
                <c:pt idx="6">
                  <c:v>320.60000000000002</c:v>
                </c:pt>
                <c:pt idx="7">
                  <c:v>316.8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12-3042-BE08-FCAB6F3F7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164480"/>
        <c:axId val="973164032"/>
      </c:barChart>
      <c:catAx>
        <c:axId val="97316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메시지 크기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3164032"/>
        <c:crosses val="autoZero"/>
        <c:auto val="1"/>
        <c:lblAlgn val="ctr"/>
        <c:lblOffset val="100"/>
        <c:noMultiLvlLbl val="0"/>
      </c:catAx>
      <c:valAx>
        <c:axId val="9731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지연 </a:t>
                </a:r>
                <a:r>
                  <a:rPr lang="en-US" altLang="ko-KR"/>
                  <a:t>(</a:t>
                </a:r>
                <a:r>
                  <a:rPr lang="el-GR" altLang="ko-KR"/>
                  <a:t>μ</a:t>
                </a:r>
                <a:r>
                  <a:rPr lang="en" altLang="ko-KR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316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구간별 누적 지연 </a:t>
            </a:r>
            <a:r>
              <a:rPr lang="en-US" altLang="ko-KR"/>
              <a:t>(</a:t>
            </a:r>
            <a:r>
              <a:rPr lang="en" altLang="ko-KR"/>
              <a:t>p50, </a:t>
            </a:r>
            <a:r>
              <a:rPr lang="el-GR" altLang="ko-KR"/>
              <a:t>μ</a:t>
            </a:r>
            <a:r>
              <a:rPr lang="en" altLang="ko-KR"/>
              <a:t>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latency!$L$13</c:f>
              <c:strCache>
                <c:ptCount val="1"/>
                <c:pt idx="0">
                  <c:v>LogAppend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latency!$K$14:$K$21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latency!$L$14:$L$21</c:f>
              <c:numCache>
                <c:formatCode>General</c:formatCode>
                <c:ptCount val="8"/>
                <c:pt idx="0">
                  <c:v>100.2</c:v>
                </c:pt>
                <c:pt idx="1">
                  <c:v>112.7</c:v>
                </c:pt>
                <c:pt idx="2">
                  <c:v>187.5</c:v>
                </c:pt>
                <c:pt idx="3">
                  <c:v>171.10000000000002</c:v>
                </c:pt>
                <c:pt idx="4">
                  <c:v>247.9</c:v>
                </c:pt>
                <c:pt idx="5">
                  <c:v>395.5</c:v>
                </c:pt>
                <c:pt idx="6">
                  <c:v>542.79999999999995</c:v>
                </c:pt>
                <c:pt idx="7">
                  <c:v>668.1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5-314A-BF53-3F015508FF1B}"/>
            </c:ext>
          </c:extLst>
        </c:ser>
        <c:ser>
          <c:idx val="1"/>
          <c:order val="1"/>
          <c:tx>
            <c:strRef>
              <c:f>latency!$M$13</c:f>
              <c:strCache>
                <c:ptCount val="1"/>
                <c:pt idx="0">
                  <c:v>RPC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latency!$K$14:$K$21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latency!$M$14:$M$21</c:f>
              <c:numCache>
                <c:formatCode>General</c:formatCode>
                <c:ptCount val="8"/>
                <c:pt idx="0">
                  <c:v>55.1</c:v>
                </c:pt>
                <c:pt idx="1">
                  <c:v>54.5</c:v>
                </c:pt>
                <c:pt idx="2">
                  <c:v>71</c:v>
                </c:pt>
                <c:pt idx="3">
                  <c:v>71.2</c:v>
                </c:pt>
                <c:pt idx="4">
                  <c:v>69.2</c:v>
                </c:pt>
                <c:pt idx="5">
                  <c:v>171.5</c:v>
                </c:pt>
                <c:pt idx="6">
                  <c:v>189.4</c:v>
                </c:pt>
                <c:pt idx="7">
                  <c:v>209.9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5-314A-BF53-3F015508FF1B}"/>
            </c:ext>
          </c:extLst>
        </c:ser>
        <c:ser>
          <c:idx val="2"/>
          <c:order val="2"/>
          <c:tx>
            <c:strRef>
              <c:f>latency!$N$13</c:f>
              <c:strCache>
                <c:ptCount val="1"/>
                <c:pt idx="0">
                  <c:v>Replicate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latency!$K$14:$K$21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latency!$N$14:$N$21</c:f>
              <c:numCache>
                <c:formatCode>General</c:formatCode>
                <c:ptCount val="8"/>
                <c:pt idx="0">
                  <c:v>262.3</c:v>
                </c:pt>
                <c:pt idx="1">
                  <c:v>284.2</c:v>
                </c:pt>
                <c:pt idx="2">
                  <c:v>332</c:v>
                </c:pt>
                <c:pt idx="3">
                  <c:v>300.3</c:v>
                </c:pt>
                <c:pt idx="4">
                  <c:v>442.20000000000005</c:v>
                </c:pt>
                <c:pt idx="5">
                  <c:v>505.2</c:v>
                </c:pt>
                <c:pt idx="6">
                  <c:v>563.9</c:v>
                </c:pt>
                <c:pt idx="7">
                  <c:v>748.5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5-314A-BF53-3F015508FF1B}"/>
            </c:ext>
          </c:extLst>
        </c:ser>
        <c:ser>
          <c:idx val="3"/>
          <c:order val="3"/>
          <c:tx>
            <c:strRef>
              <c:f>latency!$O$13</c:f>
              <c:strCache>
                <c:ptCount val="1"/>
                <c:pt idx="0">
                  <c:v>Commit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latency!$K$14:$K$21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latency!$O$14:$O$21</c:f>
              <c:numCache>
                <c:formatCode>General</c:formatCode>
                <c:ptCount val="8"/>
                <c:pt idx="0">
                  <c:v>228.4</c:v>
                </c:pt>
                <c:pt idx="1">
                  <c:v>244.7</c:v>
                </c:pt>
                <c:pt idx="2">
                  <c:v>253.4</c:v>
                </c:pt>
                <c:pt idx="3">
                  <c:v>205.6</c:v>
                </c:pt>
                <c:pt idx="4">
                  <c:v>308.3</c:v>
                </c:pt>
                <c:pt idx="5">
                  <c:v>328.4</c:v>
                </c:pt>
                <c:pt idx="6">
                  <c:v>329.8</c:v>
                </c:pt>
                <c:pt idx="7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5-314A-BF53-3F015508F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6890304"/>
        <c:axId val="1325498816"/>
      </c:barChart>
      <c:catAx>
        <c:axId val="129689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메시지 크기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5498816"/>
        <c:crosses val="autoZero"/>
        <c:auto val="1"/>
        <c:lblAlgn val="ctr"/>
        <c:lblOffset val="100"/>
        <c:noMultiLvlLbl val="0"/>
      </c:catAx>
      <c:valAx>
        <c:axId val="13254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지연 </a:t>
                </a:r>
                <a:r>
                  <a:rPr lang="en-US" altLang="ko-KR"/>
                  <a:t>(</a:t>
                </a:r>
                <a:r>
                  <a:rPr lang="el-GR" altLang="ko-KR"/>
                  <a:t>μ</a:t>
                </a:r>
                <a:r>
                  <a:rPr lang="en" altLang="ko-KR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689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구간별 누적 지연 </a:t>
            </a:r>
            <a:r>
              <a:rPr lang="en-US" altLang="ko-KR"/>
              <a:t>(</a:t>
            </a:r>
            <a:r>
              <a:rPr lang="en" altLang="ko-KR"/>
              <a:t>p99, </a:t>
            </a:r>
            <a:r>
              <a:rPr lang="el-GR" altLang="ko-KR"/>
              <a:t>μ</a:t>
            </a:r>
            <a:r>
              <a:rPr lang="en" altLang="ko-KR"/>
              <a:t>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latency!$L$24</c:f>
              <c:strCache>
                <c:ptCount val="1"/>
                <c:pt idx="0">
                  <c:v>LogAppend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latency!$K$25:$K$32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latency!$L$25:$L$32</c:f>
              <c:numCache>
                <c:formatCode>General</c:formatCode>
                <c:ptCount val="8"/>
                <c:pt idx="0">
                  <c:v>256.5</c:v>
                </c:pt>
                <c:pt idx="1">
                  <c:v>291.3</c:v>
                </c:pt>
                <c:pt idx="2">
                  <c:v>383.2</c:v>
                </c:pt>
                <c:pt idx="3">
                  <c:v>382</c:v>
                </c:pt>
                <c:pt idx="4">
                  <c:v>439.7</c:v>
                </c:pt>
                <c:pt idx="5">
                  <c:v>578</c:v>
                </c:pt>
                <c:pt idx="6">
                  <c:v>688.4</c:v>
                </c:pt>
                <c:pt idx="7">
                  <c:v>994.9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7-954A-B2B3-0756426D57CD}"/>
            </c:ext>
          </c:extLst>
        </c:ser>
        <c:ser>
          <c:idx val="1"/>
          <c:order val="1"/>
          <c:tx>
            <c:strRef>
              <c:f>latency!$M$24</c:f>
              <c:strCache>
                <c:ptCount val="1"/>
                <c:pt idx="0">
                  <c:v>RPC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latency!$K$25:$K$32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latency!$M$25:$M$32</c:f>
              <c:numCache>
                <c:formatCode>General</c:formatCode>
                <c:ptCount val="8"/>
                <c:pt idx="0">
                  <c:v>192.9</c:v>
                </c:pt>
                <c:pt idx="1">
                  <c:v>188.5</c:v>
                </c:pt>
                <c:pt idx="2">
                  <c:v>212.7</c:v>
                </c:pt>
                <c:pt idx="3">
                  <c:v>191.9</c:v>
                </c:pt>
                <c:pt idx="4">
                  <c:v>212.3</c:v>
                </c:pt>
                <c:pt idx="5">
                  <c:v>316</c:v>
                </c:pt>
                <c:pt idx="6">
                  <c:v>312.3</c:v>
                </c:pt>
                <c:pt idx="7">
                  <c:v>322.5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7-954A-B2B3-0756426D57CD}"/>
            </c:ext>
          </c:extLst>
        </c:ser>
        <c:ser>
          <c:idx val="2"/>
          <c:order val="2"/>
          <c:tx>
            <c:strRef>
              <c:f>latency!$N$24</c:f>
              <c:strCache>
                <c:ptCount val="1"/>
                <c:pt idx="0">
                  <c:v>Replicate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latency!$K$25:$K$32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latency!$N$25:$N$32</c:f>
              <c:numCache>
                <c:formatCode>General</c:formatCode>
                <c:ptCount val="8"/>
                <c:pt idx="0">
                  <c:v>468.1</c:v>
                </c:pt>
                <c:pt idx="1">
                  <c:v>512.70000000000005</c:v>
                </c:pt>
                <c:pt idx="2">
                  <c:v>559</c:v>
                </c:pt>
                <c:pt idx="3">
                  <c:v>587.79999999999995</c:v>
                </c:pt>
                <c:pt idx="4">
                  <c:v>629.79999999999995</c:v>
                </c:pt>
                <c:pt idx="5">
                  <c:v>770.2</c:v>
                </c:pt>
                <c:pt idx="6">
                  <c:v>823.59999999999991</c:v>
                </c:pt>
                <c:pt idx="7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7-954A-B2B3-0756426D57CD}"/>
            </c:ext>
          </c:extLst>
        </c:ser>
        <c:ser>
          <c:idx val="3"/>
          <c:order val="3"/>
          <c:tx>
            <c:strRef>
              <c:f>latency!$O$24</c:f>
              <c:strCache>
                <c:ptCount val="1"/>
                <c:pt idx="0">
                  <c:v>Commit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latency!$K$25:$K$32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latency!$O$25:$O$32</c:f>
              <c:numCache>
                <c:formatCode>General</c:formatCode>
                <c:ptCount val="8"/>
                <c:pt idx="0">
                  <c:v>408.2</c:v>
                </c:pt>
                <c:pt idx="1">
                  <c:v>422.1</c:v>
                </c:pt>
                <c:pt idx="2">
                  <c:v>464.5</c:v>
                </c:pt>
                <c:pt idx="3">
                  <c:v>464.8</c:v>
                </c:pt>
                <c:pt idx="4">
                  <c:v>482</c:v>
                </c:pt>
                <c:pt idx="5">
                  <c:v>517.9</c:v>
                </c:pt>
                <c:pt idx="6">
                  <c:v>504.8</c:v>
                </c:pt>
                <c:pt idx="7">
                  <c:v>514.70000000000005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7-954A-B2B3-0756426D5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5674304"/>
        <c:axId val="1325676096"/>
      </c:barChart>
      <c:catAx>
        <c:axId val="132567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메시지 크기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5676096"/>
        <c:crosses val="autoZero"/>
        <c:auto val="1"/>
        <c:lblAlgn val="ctr"/>
        <c:lblOffset val="100"/>
        <c:noMultiLvlLbl val="0"/>
      </c:catAx>
      <c:valAx>
        <c:axId val="13256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지연 </a:t>
                </a:r>
                <a:r>
                  <a:rPr lang="en-US" altLang="ko-KR"/>
                  <a:t>(</a:t>
                </a:r>
                <a:r>
                  <a:rPr lang="el-GR" altLang="ko-KR"/>
                  <a:t>μ</a:t>
                </a:r>
                <a:r>
                  <a:rPr lang="en" altLang="ko-KR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56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927100</xdr:colOff>
      <xdr:row>0</xdr:row>
      <xdr:rowOff>0</xdr:rowOff>
    </xdr:from>
    <xdr:to>
      <xdr:col>22</xdr:col>
      <xdr:colOff>88900</xdr:colOff>
      <xdr:row>16</xdr:row>
      <xdr:rowOff>152400</xdr:rowOff>
    </xdr:to>
    <xdr:graphicFrame macro="">
      <xdr:nvGraphicFramePr>
        <xdr:cNvPr id="5" name="Stacked_mean">
          <a:extLst>
            <a:ext uri="{FF2B5EF4-FFF2-40B4-BE49-F238E27FC236}">
              <a16:creationId xmlns:a16="http://schemas.microsoft.com/office/drawing/2014/main" id="{3CB73E87-08BC-393E-E2FA-D454299BB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927100</xdr:colOff>
      <xdr:row>17</xdr:row>
      <xdr:rowOff>177800</xdr:rowOff>
    </xdr:from>
    <xdr:to>
      <xdr:col>22</xdr:col>
      <xdr:colOff>127000</xdr:colOff>
      <xdr:row>34</xdr:row>
      <xdr:rowOff>101600</xdr:rowOff>
    </xdr:to>
    <xdr:graphicFrame macro="">
      <xdr:nvGraphicFramePr>
        <xdr:cNvPr id="6" name="Stacked_p50">
          <a:extLst>
            <a:ext uri="{FF2B5EF4-FFF2-40B4-BE49-F238E27FC236}">
              <a16:creationId xmlns:a16="http://schemas.microsoft.com/office/drawing/2014/main" id="{ACE3604A-8757-6E5E-AF2C-32280898B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927100</xdr:colOff>
      <xdr:row>35</xdr:row>
      <xdr:rowOff>127000</xdr:rowOff>
    </xdr:from>
    <xdr:to>
      <xdr:col>22</xdr:col>
      <xdr:colOff>127000</xdr:colOff>
      <xdr:row>52</xdr:row>
      <xdr:rowOff>50800</xdr:rowOff>
    </xdr:to>
    <xdr:graphicFrame macro="">
      <xdr:nvGraphicFramePr>
        <xdr:cNvPr id="7" name="Stacked_p99">
          <a:extLst>
            <a:ext uri="{FF2B5EF4-FFF2-40B4-BE49-F238E27FC236}">
              <a16:creationId xmlns:a16="http://schemas.microsoft.com/office/drawing/2014/main" id="{7F8694ED-658C-5626-F540-0711FF950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D82F7D-A303-904F-B9BD-1D1D7BFF4FF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6edebb6-49dc-4208-a19d-4bf6bf01df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A33A-DC2F-8F45-B8B4-F62B2A3A454A}">
  <dimension ref="A1:O89"/>
  <sheetViews>
    <sheetView tabSelected="1" workbookViewId="0">
      <selection activeCell="K3" sqref="K3:O10"/>
    </sheetView>
  </sheetViews>
  <sheetFormatPr baseColWidth="10" defaultRowHeight="18"/>
  <cols>
    <col min="3" max="3" width="12.7109375" bestFit="1" customWidth="1"/>
  </cols>
  <sheetData>
    <row r="1" spans="1:1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s="4" t="s">
        <v>25</v>
      </c>
    </row>
    <row r="2" spans="1:15">
      <c r="A2">
        <v>1024</v>
      </c>
      <c r="B2">
        <v>10000</v>
      </c>
      <c r="D2" t="s">
        <v>8</v>
      </c>
      <c r="E2">
        <v>678.1</v>
      </c>
      <c r="F2">
        <v>713.7</v>
      </c>
      <c r="G2">
        <v>1095.4000000000001</v>
      </c>
      <c r="H2">
        <v>7491.42</v>
      </c>
      <c r="I2">
        <v>0</v>
      </c>
      <c r="K2" s="4" t="s">
        <v>0</v>
      </c>
      <c r="L2" s="4" t="s">
        <v>19</v>
      </c>
      <c r="M2" s="4" t="s">
        <v>21</v>
      </c>
      <c r="N2" s="4" t="s">
        <v>23</v>
      </c>
      <c r="O2" s="4" t="s">
        <v>28</v>
      </c>
    </row>
    <row r="3" spans="1:15">
      <c r="C3" s="2" t="s">
        <v>20</v>
      </c>
      <c r="D3" t="s">
        <v>9</v>
      </c>
      <c r="E3">
        <v>4.5999999999999996</v>
      </c>
      <c r="F3">
        <v>2.9</v>
      </c>
      <c r="G3">
        <v>23.2</v>
      </c>
      <c r="H3">
        <v>7491.42</v>
      </c>
      <c r="I3">
        <v>0</v>
      </c>
      <c r="K3" t="str">
        <f>A2/1024&amp;"KB"</f>
        <v>1KB</v>
      </c>
      <c r="L3">
        <f>SUM(E3:E4)</f>
        <v>108.1</v>
      </c>
      <c r="M3">
        <f>E5</f>
        <v>62.8</v>
      </c>
      <c r="N3">
        <f>SUM(E6:E8)</f>
        <v>266.5</v>
      </c>
      <c r="O3">
        <f>E9</f>
        <v>220.9</v>
      </c>
    </row>
    <row r="4" spans="1:15">
      <c r="C4" s="2"/>
      <c r="D4" t="s">
        <v>10</v>
      </c>
      <c r="E4">
        <v>103.5</v>
      </c>
      <c r="F4">
        <v>97.3</v>
      </c>
      <c r="G4">
        <v>233.3</v>
      </c>
      <c r="H4">
        <v>7491.42</v>
      </c>
      <c r="I4">
        <v>0</v>
      </c>
      <c r="K4" t="str">
        <f>A13/1024&amp;"KB"</f>
        <v>2KB</v>
      </c>
      <c r="L4">
        <f>SUM(E14:E15)</f>
        <v>130.1</v>
      </c>
      <c r="M4">
        <f>E16</f>
        <v>60.9</v>
      </c>
      <c r="N4">
        <f>SUM(E17:E19)</f>
        <v>292.89999999999998</v>
      </c>
      <c r="O4">
        <f>E20</f>
        <v>237.8</v>
      </c>
    </row>
    <row r="5" spans="1:15">
      <c r="C5" s="1" t="s">
        <v>22</v>
      </c>
      <c r="D5" t="s">
        <v>11</v>
      </c>
      <c r="E5">
        <v>62.8</v>
      </c>
      <c r="F5">
        <v>55.1</v>
      </c>
      <c r="G5">
        <v>192.9</v>
      </c>
      <c r="H5">
        <v>7491.42</v>
      </c>
      <c r="I5">
        <v>0</v>
      </c>
      <c r="K5" t="str">
        <f>A24/1024&amp;"KB"</f>
        <v>4KB</v>
      </c>
      <c r="L5">
        <f>SUM(E25:E26)</f>
        <v>200.7</v>
      </c>
      <c r="M5">
        <f>E27</f>
        <v>91.1</v>
      </c>
      <c r="N5">
        <f>SUM(E28:E30)</f>
        <v>350.8</v>
      </c>
      <c r="O5">
        <f>E31</f>
        <v>261.7</v>
      </c>
    </row>
    <row r="6" spans="1:15">
      <c r="C6" s="3" t="s">
        <v>24</v>
      </c>
      <c r="D6" t="s">
        <v>12</v>
      </c>
      <c r="E6">
        <v>4.0999999999999996</v>
      </c>
      <c r="F6">
        <v>2.9</v>
      </c>
      <c r="G6">
        <v>21.8</v>
      </c>
      <c r="H6">
        <v>7491.42</v>
      </c>
      <c r="I6">
        <v>0</v>
      </c>
      <c r="K6" t="str">
        <f>A35/1024&amp;"KB"</f>
        <v>8KB</v>
      </c>
      <c r="L6">
        <f>SUM(E36:E37)</f>
        <v>192.1</v>
      </c>
      <c r="M6">
        <f>E38</f>
        <v>89.5</v>
      </c>
      <c r="N6">
        <f>SUM(E39:E41)</f>
        <v>319.39999999999998</v>
      </c>
      <c r="O6">
        <f>E42</f>
        <v>231.8</v>
      </c>
    </row>
    <row r="7" spans="1:15">
      <c r="C7" s="2"/>
      <c r="D7" t="s">
        <v>13</v>
      </c>
      <c r="E7">
        <v>129.5</v>
      </c>
      <c r="F7">
        <v>127.5</v>
      </c>
      <c r="G7">
        <v>263.3</v>
      </c>
      <c r="H7">
        <v>7491.42</v>
      </c>
      <c r="I7">
        <v>0</v>
      </c>
      <c r="K7" t="str">
        <f>A46/1024&amp;"KB"</f>
        <v>16KB</v>
      </c>
      <c r="L7">
        <f>SUM(E47:E48)</f>
        <v>269</v>
      </c>
      <c r="M7">
        <f>E49</f>
        <v>83.6</v>
      </c>
      <c r="N7">
        <f>SUM(E50:E52)</f>
        <v>438.5</v>
      </c>
      <c r="O7">
        <f>E53</f>
        <v>297.39999999999998</v>
      </c>
    </row>
    <row r="8" spans="1:15">
      <c r="C8" s="2"/>
      <c r="D8" t="s">
        <v>14</v>
      </c>
      <c r="E8">
        <v>132.9</v>
      </c>
      <c r="F8">
        <v>131.9</v>
      </c>
      <c r="G8">
        <v>183</v>
      </c>
      <c r="H8">
        <v>7491.42</v>
      </c>
      <c r="I8">
        <v>0</v>
      </c>
      <c r="K8" t="str">
        <f>A57/1024&amp;"KB"</f>
        <v>32KB</v>
      </c>
      <c r="L8">
        <f>SUM(E58:E59)</f>
        <v>391.8</v>
      </c>
      <c r="M8">
        <f>E60</f>
        <v>169.8</v>
      </c>
      <c r="N8">
        <f>SUM(E61:E63)</f>
        <v>506.40000000000003</v>
      </c>
      <c r="O8">
        <f>E64</f>
        <v>326.3</v>
      </c>
    </row>
    <row r="9" spans="1:15">
      <c r="C9" s="2" t="s">
        <v>29</v>
      </c>
      <c r="D9" t="s">
        <v>15</v>
      </c>
      <c r="E9">
        <v>220.9</v>
      </c>
      <c r="F9">
        <v>228.4</v>
      </c>
      <c r="G9">
        <v>408.2</v>
      </c>
      <c r="H9">
        <v>7491.42</v>
      </c>
      <c r="I9">
        <v>0</v>
      </c>
      <c r="K9" t="str">
        <f>A68/1024&amp;"KB"</f>
        <v>64KB</v>
      </c>
      <c r="L9">
        <f>SUM(E69:E70)</f>
        <v>524.70000000000005</v>
      </c>
      <c r="M9">
        <f>E71</f>
        <v>185.3</v>
      </c>
      <c r="N9">
        <f>SUM(E72:E74)</f>
        <v>568.1</v>
      </c>
      <c r="O9">
        <f>E75</f>
        <v>320.60000000000002</v>
      </c>
    </row>
    <row r="10" spans="1:15">
      <c r="C10" s="2"/>
      <c r="D10" t="s">
        <v>16</v>
      </c>
      <c r="E10">
        <v>1.7</v>
      </c>
      <c r="F10">
        <v>0.9</v>
      </c>
      <c r="G10">
        <v>20.399999999999999</v>
      </c>
      <c r="H10">
        <v>7491.42</v>
      </c>
      <c r="I10">
        <v>0</v>
      </c>
      <c r="K10" t="str">
        <f>A79/1024&amp;"KB"</f>
        <v>128KB</v>
      </c>
      <c r="L10">
        <f>SUM(E80:E81)</f>
        <v>727.5</v>
      </c>
      <c r="M10">
        <f>E82</f>
        <v>215.7</v>
      </c>
      <c r="N10">
        <f>SUM(E83:E85)</f>
        <v>742.2</v>
      </c>
      <c r="O10">
        <f>E86</f>
        <v>316.8</v>
      </c>
    </row>
    <row r="11" spans="1:15">
      <c r="C11" s="2"/>
      <c r="D11" t="s">
        <v>17</v>
      </c>
      <c r="E11">
        <v>485.4</v>
      </c>
      <c r="F11">
        <v>505</v>
      </c>
      <c r="G11">
        <v>759.5</v>
      </c>
      <c r="H11">
        <v>7491.42</v>
      </c>
      <c r="I11">
        <v>0</v>
      </c>
    </row>
    <row r="12" spans="1:15">
      <c r="D12" t="s">
        <v>18</v>
      </c>
      <c r="E12">
        <v>19.8</v>
      </c>
      <c r="F12">
        <v>21.6</v>
      </c>
      <c r="G12">
        <v>37.6</v>
      </c>
      <c r="H12">
        <v>7491.42</v>
      </c>
      <c r="I12">
        <v>0</v>
      </c>
      <c r="K12" s="4" t="s">
        <v>26</v>
      </c>
    </row>
    <row r="13" spans="1:15">
      <c r="A13">
        <v>2048</v>
      </c>
      <c r="B13">
        <v>10000</v>
      </c>
      <c r="D13" t="s">
        <v>8</v>
      </c>
      <c r="E13">
        <v>744.7</v>
      </c>
      <c r="F13">
        <v>747.4</v>
      </c>
      <c r="G13">
        <v>1146.3</v>
      </c>
      <c r="H13">
        <v>8272.84</v>
      </c>
      <c r="I13">
        <v>0</v>
      </c>
      <c r="K13" s="4" t="s">
        <v>0</v>
      </c>
      <c r="L13" s="4" t="s">
        <v>19</v>
      </c>
      <c r="M13" s="4" t="s">
        <v>21</v>
      </c>
      <c r="N13" s="4" t="s">
        <v>23</v>
      </c>
      <c r="O13" s="4" t="s">
        <v>28</v>
      </c>
    </row>
    <row r="14" spans="1:15">
      <c r="C14" s="2" t="s">
        <v>20</v>
      </c>
      <c r="D14" t="s">
        <v>9</v>
      </c>
      <c r="E14">
        <v>7.2</v>
      </c>
      <c r="F14">
        <v>3.2</v>
      </c>
      <c r="G14">
        <v>32.5</v>
      </c>
      <c r="H14">
        <v>8272.84</v>
      </c>
      <c r="I14">
        <v>0</v>
      </c>
      <c r="K14" t="str">
        <f>A2/1024&amp;"KB"</f>
        <v>1KB</v>
      </c>
      <c r="L14">
        <f>SUM(F3:F4)</f>
        <v>100.2</v>
      </c>
      <c r="M14">
        <f>F5</f>
        <v>55.1</v>
      </c>
      <c r="N14">
        <f>SUM(F6:F8)</f>
        <v>262.3</v>
      </c>
      <c r="O14">
        <f>F9</f>
        <v>228.4</v>
      </c>
    </row>
    <row r="15" spans="1:15">
      <c r="C15" s="2"/>
      <c r="D15" t="s">
        <v>10</v>
      </c>
      <c r="E15">
        <v>122.9</v>
      </c>
      <c r="F15">
        <v>109.5</v>
      </c>
      <c r="G15">
        <v>258.8</v>
      </c>
      <c r="H15">
        <v>8272.84</v>
      </c>
      <c r="I15">
        <v>0</v>
      </c>
      <c r="K15" t="str">
        <f>A13/1024&amp;"KB"</f>
        <v>2KB</v>
      </c>
      <c r="L15">
        <f>SUM(F14:F15)</f>
        <v>112.7</v>
      </c>
      <c r="M15">
        <f>F16</f>
        <v>54.5</v>
      </c>
      <c r="N15">
        <f>SUM(F17:F19)</f>
        <v>284.2</v>
      </c>
      <c r="O15">
        <f>F20</f>
        <v>244.7</v>
      </c>
    </row>
    <row r="16" spans="1:15">
      <c r="C16" s="1" t="s">
        <v>22</v>
      </c>
      <c r="D16" t="s">
        <v>11</v>
      </c>
      <c r="E16">
        <v>60.9</v>
      </c>
      <c r="F16">
        <v>54.5</v>
      </c>
      <c r="G16">
        <v>188.5</v>
      </c>
      <c r="H16">
        <v>8272.84</v>
      </c>
      <c r="I16">
        <v>0</v>
      </c>
      <c r="K16" t="str">
        <f>A24/1024&amp;"KB"</f>
        <v>4KB</v>
      </c>
      <c r="L16">
        <f>SUM(F25:F26)</f>
        <v>187.5</v>
      </c>
      <c r="M16">
        <f>F27</f>
        <v>71</v>
      </c>
      <c r="N16">
        <f>SUM(F28:F30)</f>
        <v>332</v>
      </c>
      <c r="O16">
        <f>F31</f>
        <v>253.4</v>
      </c>
    </row>
    <row r="17" spans="1:15">
      <c r="C17" s="3" t="s">
        <v>24</v>
      </c>
      <c r="D17" t="s">
        <v>12</v>
      </c>
      <c r="E17">
        <v>3.7</v>
      </c>
      <c r="F17">
        <v>2.7</v>
      </c>
      <c r="G17">
        <v>18.7</v>
      </c>
      <c r="H17">
        <v>8272.84</v>
      </c>
      <c r="I17">
        <v>0</v>
      </c>
      <c r="K17" t="str">
        <f>A35/1024&amp;"KB"</f>
        <v>8KB</v>
      </c>
      <c r="L17">
        <f>SUM(F36:F37)</f>
        <v>171.10000000000002</v>
      </c>
      <c r="M17">
        <f>F38</f>
        <v>71.2</v>
      </c>
      <c r="N17">
        <f>SUM(F39:F41)</f>
        <v>300.3</v>
      </c>
      <c r="O17">
        <f>F42</f>
        <v>205.6</v>
      </c>
    </row>
    <row r="18" spans="1:15">
      <c r="C18" s="2"/>
      <c r="D18" t="s">
        <v>13</v>
      </c>
      <c r="E18">
        <v>145.9</v>
      </c>
      <c r="F18">
        <v>140.80000000000001</v>
      </c>
      <c r="G18">
        <v>289.5</v>
      </c>
      <c r="H18">
        <v>8272.84</v>
      </c>
      <c r="I18">
        <v>0</v>
      </c>
      <c r="K18" t="str">
        <f>A46/1024&amp;"KB"</f>
        <v>16KB</v>
      </c>
      <c r="L18">
        <f>SUM(F47:F48)</f>
        <v>247.9</v>
      </c>
      <c r="M18">
        <f>F49</f>
        <v>69.2</v>
      </c>
      <c r="N18">
        <f>SUM(F50:F52)</f>
        <v>442.20000000000005</v>
      </c>
      <c r="O18">
        <f>F53</f>
        <v>308.3</v>
      </c>
    </row>
    <row r="19" spans="1:15">
      <c r="C19" s="2"/>
      <c r="D19" t="s">
        <v>14</v>
      </c>
      <c r="E19">
        <v>143.30000000000001</v>
      </c>
      <c r="F19">
        <v>140.69999999999999</v>
      </c>
      <c r="G19">
        <v>204.5</v>
      </c>
      <c r="H19">
        <v>8272.84</v>
      </c>
      <c r="I19">
        <v>0</v>
      </c>
      <c r="K19" t="str">
        <f>A57/1024&amp;"KB"</f>
        <v>32KB</v>
      </c>
      <c r="L19">
        <f>SUM(F58:F59)</f>
        <v>395.5</v>
      </c>
      <c r="M19">
        <f>F60</f>
        <v>171.5</v>
      </c>
      <c r="N19">
        <f>SUM(F61:F63)</f>
        <v>505.2</v>
      </c>
      <c r="O19">
        <f>F64</f>
        <v>328.4</v>
      </c>
    </row>
    <row r="20" spans="1:15">
      <c r="C20" s="2" t="s">
        <v>29</v>
      </c>
      <c r="D20" t="s">
        <v>15</v>
      </c>
      <c r="E20">
        <v>237.8</v>
      </c>
      <c r="F20">
        <v>244.7</v>
      </c>
      <c r="G20">
        <v>422.1</v>
      </c>
      <c r="H20">
        <v>8272.84</v>
      </c>
      <c r="I20">
        <v>0</v>
      </c>
      <c r="K20" t="str">
        <f>A68/1024&amp;"KB"</f>
        <v>64KB</v>
      </c>
      <c r="L20">
        <f>SUM(F69:F70)</f>
        <v>542.79999999999995</v>
      </c>
      <c r="M20">
        <f>F71</f>
        <v>189.4</v>
      </c>
      <c r="N20">
        <f>SUM(F72:F74)</f>
        <v>563.9</v>
      </c>
      <c r="O20">
        <f>F75</f>
        <v>329.8</v>
      </c>
    </row>
    <row r="21" spans="1:15">
      <c r="C21" s="2"/>
      <c r="D21" t="s">
        <v>16</v>
      </c>
      <c r="E21">
        <v>4.3</v>
      </c>
      <c r="F21">
        <v>0.9</v>
      </c>
      <c r="G21">
        <v>20.2</v>
      </c>
      <c r="H21">
        <v>8272.84</v>
      </c>
      <c r="I21">
        <v>0</v>
      </c>
      <c r="K21" t="str">
        <f>A79/1024&amp;"KB"</f>
        <v>128KB</v>
      </c>
      <c r="L21">
        <f>SUM(F80:F81)</f>
        <v>668.1</v>
      </c>
      <c r="M21">
        <f>F82</f>
        <v>209.9</v>
      </c>
      <c r="N21">
        <f>SUM(F83:F85)</f>
        <v>748.5</v>
      </c>
      <c r="O21">
        <f>F86</f>
        <v>315</v>
      </c>
    </row>
    <row r="22" spans="1:15">
      <c r="C22" s="2"/>
      <c r="D22" t="s">
        <v>17</v>
      </c>
      <c r="E22">
        <v>524.29999999999995</v>
      </c>
      <c r="F22">
        <v>531.1</v>
      </c>
      <c r="G22">
        <v>793.2</v>
      </c>
      <c r="H22">
        <v>8272.84</v>
      </c>
      <c r="I22">
        <v>0</v>
      </c>
    </row>
    <row r="23" spans="1:15">
      <c r="D23" t="s">
        <v>18</v>
      </c>
      <c r="E23">
        <v>23</v>
      </c>
      <c r="F23">
        <v>23.4</v>
      </c>
      <c r="G23">
        <v>42.5</v>
      </c>
      <c r="H23">
        <v>8272.84</v>
      </c>
      <c r="I23">
        <v>0</v>
      </c>
      <c r="K23" s="4" t="s">
        <v>27</v>
      </c>
    </row>
    <row r="24" spans="1:15">
      <c r="A24">
        <v>4096</v>
      </c>
      <c r="B24">
        <v>10000</v>
      </c>
      <c r="D24" t="s">
        <v>8</v>
      </c>
      <c r="E24">
        <v>926.9</v>
      </c>
      <c r="F24">
        <v>874.1</v>
      </c>
      <c r="G24">
        <v>1298.3</v>
      </c>
      <c r="H24">
        <v>10930.77</v>
      </c>
      <c r="I24">
        <v>0</v>
      </c>
      <c r="K24" s="4" t="s">
        <v>0</v>
      </c>
      <c r="L24" s="4" t="s">
        <v>19</v>
      </c>
      <c r="M24" s="4" t="s">
        <v>21</v>
      </c>
      <c r="N24" s="4" t="s">
        <v>23</v>
      </c>
      <c r="O24" s="4" t="s">
        <v>28</v>
      </c>
    </row>
    <row r="25" spans="1:15">
      <c r="C25" s="2" t="s">
        <v>20</v>
      </c>
      <c r="D25" t="s">
        <v>9</v>
      </c>
      <c r="E25">
        <v>17.2</v>
      </c>
      <c r="F25">
        <v>14</v>
      </c>
      <c r="G25">
        <v>44.8</v>
      </c>
      <c r="H25">
        <v>10930.77</v>
      </c>
      <c r="I25">
        <v>0</v>
      </c>
      <c r="K25" t="str">
        <f>A2/1024&amp;"KB"</f>
        <v>1KB</v>
      </c>
      <c r="L25">
        <f>SUM(G3:G4)</f>
        <v>256.5</v>
      </c>
      <c r="M25">
        <f>G5</f>
        <v>192.9</v>
      </c>
      <c r="N25">
        <f>SUM(G6:G8)</f>
        <v>468.1</v>
      </c>
      <c r="O25">
        <f>G9</f>
        <v>408.2</v>
      </c>
    </row>
    <row r="26" spans="1:15">
      <c r="C26" s="2"/>
      <c r="D26" t="s">
        <v>10</v>
      </c>
      <c r="E26">
        <v>183.5</v>
      </c>
      <c r="F26">
        <v>173.5</v>
      </c>
      <c r="G26">
        <v>338.4</v>
      </c>
      <c r="H26">
        <v>10930.77</v>
      </c>
      <c r="I26">
        <v>0</v>
      </c>
      <c r="K26" t="str">
        <f>A13/1024&amp;"KB"</f>
        <v>2KB</v>
      </c>
      <c r="L26">
        <f>SUM(G14:G15)</f>
        <v>291.3</v>
      </c>
      <c r="M26">
        <f>G16</f>
        <v>188.5</v>
      </c>
      <c r="N26">
        <f>SUM(G17:G19)</f>
        <v>512.70000000000005</v>
      </c>
      <c r="O26">
        <f>G20</f>
        <v>422.1</v>
      </c>
    </row>
    <row r="27" spans="1:15">
      <c r="C27" s="1" t="s">
        <v>22</v>
      </c>
      <c r="D27" t="s">
        <v>11</v>
      </c>
      <c r="E27">
        <v>91.1</v>
      </c>
      <c r="F27">
        <v>71</v>
      </c>
      <c r="G27">
        <v>212.7</v>
      </c>
      <c r="H27">
        <v>10930.77</v>
      </c>
      <c r="I27">
        <v>0</v>
      </c>
      <c r="K27" t="str">
        <f>A24/1024&amp;"KB"</f>
        <v>4KB</v>
      </c>
      <c r="L27">
        <f>SUM(G25:G26)</f>
        <v>383.2</v>
      </c>
      <c r="M27">
        <f>G27</f>
        <v>212.7</v>
      </c>
      <c r="N27">
        <f>SUM(G28:G30)</f>
        <v>559</v>
      </c>
      <c r="O27">
        <f>G31</f>
        <v>464.5</v>
      </c>
    </row>
    <row r="28" spans="1:15">
      <c r="C28" s="3" t="s">
        <v>24</v>
      </c>
      <c r="D28" t="s">
        <v>12</v>
      </c>
      <c r="E28">
        <v>4.8</v>
      </c>
      <c r="F28">
        <v>3</v>
      </c>
      <c r="G28">
        <v>25.8</v>
      </c>
      <c r="H28">
        <v>10930.77</v>
      </c>
      <c r="I28">
        <v>0</v>
      </c>
      <c r="K28" t="str">
        <f>A35/1024&amp;"KB"</f>
        <v>8KB</v>
      </c>
      <c r="L28">
        <f>SUM(G36:G37)</f>
        <v>382</v>
      </c>
      <c r="M28">
        <f>G38</f>
        <v>191.9</v>
      </c>
      <c r="N28">
        <f>SUM(G39:G41)</f>
        <v>587.79999999999995</v>
      </c>
      <c r="O28">
        <f>G42</f>
        <v>464.8</v>
      </c>
    </row>
    <row r="29" spans="1:15">
      <c r="C29" s="2"/>
      <c r="D29" t="s">
        <v>13</v>
      </c>
      <c r="E29">
        <v>199.6</v>
      </c>
      <c r="F29">
        <v>185.6</v>
      </c>
      <c r="G29">
        <v>319.7</v>
      </c>
      <c r="H29">
        <v>10930.77</v>
      </c>
      <c r="I29">
        <v>0</v>
      </c>
      <c r="K29" t="str">
        <f>A46/1024&amp;"KB"</f>
        <v>16KB</v>
      </c>
      <c r="L29">
        <f>SUM(G47:G48)</f>
        <v>439.7</v>
      </c>
      <c r="M29">
        <f>G49</f>
        <v>212.3</v>
      </c>
      <c r="N29">
        <f>SUM(G50:G52)</f>
        <v>629.79999999999995</v>
      </c>
      <c r="O29">
        <f>G53</f>
        <v>482</v>
      </c>
    </row>
    <row r="30" spans="1:15">
      <c r="C30" s="2"/>
      <c r="D30" t="s">
        <v>14</v>
      </c>
      <c r="E30">
        <v>146.4</v>
      </c>
      <c r="F30">
        <v>143.4</v>
      </c>
      <c r="G30">
        <v>213.5</v>
      </c>
      <c r="H30">
        <v>10930.77</v>
      </c>
      <c r="I30">
        <v>0</v>
      </c>
      <c r="K30" t="str">
        <f>A57/1024&amp;"KB"</f>
        <v>32KB</v>
      </c>
      <c r="L30">
        <f>SUM(G58:G59)</f>
        <v>578</v>
      </c>
      <c r="M30">
        <f>G60</f>
        <v>316</v>
      </c>
      <c r="N30">
        <f>SUM(G61:G63)</f>
        <v>770.2</v>
      </c>
      <c r="O30">
        <f>G64</f>
        <v>517.9</v>
      </c>
    </row>
    <row r="31" spans="1:15">
      <c r="C31" s="2" t="s">
        <v>29</v>
      </c>
      <c r="D31" t="s">
        <v>15</v>
      </c>
      <c r="E31">
        <v>261.7</v>
      </c>
      <c r="F31">
        <v>253.4</v>
      </c>
      <c r="G31">
        <v>464.5</v>
      </c>
      <c r="H31">
        <v>10930.77</v>
      </c>
      <c r="I31">
        <v>0</v>
      </c>
      <c r="K31" t="str">
        <f>A68/1024&amp;"KB"</f>
        <v>64KB</v>
      </c>
      <c r="L31">
        <f>SUM(G69:G70)</f>
        <v>688.4</v>
      </c>
      <c r="M31">
        <f>G71</f>
        <v>312.3</v>
      </c>
      <c r="N31">
        <f>SUM(G72:G74)</f>
        <v>823.59999999999991</v>
      </c>
      <c r="O31">
        <f>G75</f>
        <v>504.8</v>
      </c>
    </row>
    <row r="32" spans="1:15">
      <c r="C32" s="2"/>
      <c r="D32" t="s">
        <v>16</v>
      </c>
      <c r="E32">
        <v>2.5</v>
      </c>
      <c r="F32">
        <v>1.1000000000000001</v>
      </c>
      <c r="G32">
        <v>20.7</v>
      </c>
      <c r="H32">
        <v>10930.77</v>
      </c>
      <c r="I32">
        <v>0</v>
      </c>
      <c r="K32" t="str">
        <f>A79/1024&amp;"KB"</f>
        <v>128KB</v>
      </c>
      <c r="L32">
        <f>SUM(G80:G81)</f>
        <v>994.9</v>
      </c>
      <c r="M32">
        <f>G82</f>
        <v>322.5</v>
      </c>
      <c r="N32">
        <f>SUM(G83:G85)</f>
        <v>1020</v>
      </c>
      <c r="O32">
        <f>G86</f>
        <v>514.70000000000005</v>
      </c>
    </row>
    <row r="33" spans="1:9">
      <c r="C33" s="2"/>
      <c r="D33" t="s">
        <v>17</v>
      </c>
      <c r="E33">
        <v>624.29999999999995</v>
      </c>
      <c r="F33">
        <v>540.5</v>
      </c>
      <c r="G33">
        <v>852.9</v>
      </c>
      <c r="H33">
        <v>10930.77</v>
      </c>
      <c r="I33">
        <v>0</v>
      </c>
    </row>
    <row r="34" spans="1:9">
      <c r="D34" t="s">
        <v>18</v>
      </c>
      <c r="E34">
        <v>22.7</v>
      </c>
      <c r="F34">
        <v>21.4</v>
      </c>
      <c r="G34">
        <v>55</v>
      </c>
      <c r="H34">
        <v>10930.77</v>
      </c>
      <c r="I34">
        <v>0</v>
      </c>
    </row>
    <row r="35" spans="1:9">
      <c r="A35">
        <v>8192</v>
      </c>
      <c r="B35">
        <v>10000</v>
      </c>
      <c r="D35" t="s">
        <v>8</v>
      </c>
      <c r="E35">
        <v>854.3</v>
      </c>
      <c r="F35">
        <v>771.7</v>
      </c>
      <c r="G35">
        <v>1287.3</v>
      </c>
      <c r="H35">
        <v>9963.02</v>
      </c>
      <c r="I35">
        <v>0</v>
      </c>
    </row>
    <row r="36" spans="1:9">
      <c r="C36" s="2" t="s">
        <v>20</v>
      </c>
      <c r="D36" t="s">
        <v>9</v>
      </c>
      <c r="E36">
        <v>11.9</v>
      </c>
      <c r="F36">
        <v>5.3</v>
      </c>
      <c r="G36">
        <v>49.9</v>
      </c>
      <c r="H36">
        <v>9963.02</v>
      </c>
      <c r="I36">
        <v>0</v>
      </c>
    </row>
    <row r="37" spans="1:9">
      <c r="C37" s="2"/>
      <c r="D37" t="s">
        <v>10</v>
      </c>
      <c r="E37">
        <v>180.2</v>
      </c>
      <c r="F37">
        <v>165.8</v>
      </c>
      <c r="G37">
        <v>332.1</v>
      </c>
      <c r="H37">
        <v>9963.02</v>
      </c>
      <c r="I37">
        <v>0</v>
      </c>
    </row>
    <row r="38" spans="1:9">
      <c r="C38" s="1" t="s">
        <v>22</v>
      </c>
      <c r="D38" t="s">
        <v>11</v>
      </c>
      <c r="E38">
        <v>89.5</v>
      </c>
      <c r="F38">
        <v>71.2</v>
      </c>
      <c r="G38">
        <v>191.9</v>
      </c>
      <c r="H38">
        <v>9963.02</v>
      </c>
      <c r="I38">
        <v>0</v>
      </c>
    </row>
    <row r="39" spans="1:9">
      <c r="C39" s="3" t="s">
        <v>24</v>
      </c>
      <c r="D39" t="s">
        <v>12</v>
      </c>
      <c r="E39">
        <v>5.2</v>
      </c>
      <c r="F39">
        <v>3.6</v>
      </c>
      <c r="G39">
        <v>26.7</v>
      </c>
      <c r="H39">
        <v>9963.02</v>
      </c>
      <c r="I39">
        <v>0</v>
      </c>
    </row>
    <row r="40" spans="1:9">
      <c r="C40" s="2"/>
      <c r="D40" t="s">
        <v>13</v>
      </c>
      <c r="E40">
        <v>162.9</v>
      </c>
      <c r="F40">
        <v>147.9</v>
      </c>
      <c r="G40">
        <v>326.7</v>
      </c>
      <c r="H40">
        <v>9963.02</v>
      </c>
      <c r="I40">
        <v>0</v>
      </c>
    </row>
    <row r="41" spans="1:9">
      <c r="C41" s="2"/>
      <c r="D41" t="s">
        <v>14</v>
      </c>
      <c r="E41">
        <v>151.30000000000001</v>
      </c>
      <c r="F41">
        <v>148.80000000000001</v>
      </c>
      <c r="G41">
        <v>234.4</v>
      </c>
      <c r="H41">
        <v>9963.02</v>
      </c>
      <c r="I41">
        <v>0</v>
      </c>
    </row>
    <row r="42" spans="1:9">
      <c r="C42" s="2" t="s">
        <v>29</v>
      </c>
      <c r="D42" t="s">
        <v>15</v>
      </c>
      <c r="E42">
        <v>231.8</v>
      </c>
      <c r="F42">
        <v>205.6</v>
      </c>
      <c r="G42">
        <v>464.8</v>
      </c>
      <c r="H42">
        <v>9963.02</v>
      </c>
      <c r="I42">
        <v>0</v>
      </c>
    </row>
    <row r="43" spans="1:9">
      <c r="C43" s="2"/>
      <c r="D43" t="s">
        <v>16</v>
      </c>
      <c r="E43">
        <v>1.8</v>
      </c>
      <c r="F43">
        <v>1</v>
      </c>
      <c r="G43">
        <v>19.3</v>
      </c>
      <c r="H43">
        <v>9963.02</v>
      </c>
      <c r="I43">
        <v>0</v>
      </c>
    </row>
    <row r="44" spans="1:9">
      <c r="C44" s="2"/>
      <c r="D44" t="s">
        <v>17</v>
      </c>
      <c r="E44">
        <v>567.20000000000005</v>
      </c>
      <c r="F44">
        <v>508.5</v>
      </c>
      <c r="G44">
        <v>843.7</v>
      </c>
      <c r="H44">
        <v>9963.02</v>
      </c>
      <c r="I44">
        <v>0</v>
      </c>
    </row>
    <row r="45" spans="1:9">
      <c r="D45" t="s">
        <v>18</v>
      </c>
      <c r="E45">
        <v>21.5</v>
      </c>
      <c r="F45">
        <v>18.5</v>
      </c>
      <c r="G45">
        <v>51.4</v>
      </c>
      <c r="H45">
        <v>9963.02</v>
      </c>
      <c r="I45">
        <v>0</v>
      </c>
    </row>
    <row r="46" spans="1:9">
      <c r="A46">
        <v>16384</v>
      </c>
      <c r="B46">
        <v>10000</v>
      </c>
      <c r="D46" t="s">
        <v>8</v>
      </c>
      <c r="E46">
        <v>1111.2</v>
      </c>
      <c r="F46">
        <v>1136</v>
      </c>
      <c r="G46">
        <v>1518</v>
      </c>
      <c r="H46">
        <v>13189.12</v>
      </c>
      <c r="I46">
        <v>0</v>
      </c>
    </row>
    <row r="47" spans="1:9">
      <c r="C47" s="2" t="s">
        <v>20</v>
      </c>
      <c r="D47" t="s">
        <v>9</v>
      </c>
      <c r="E47">
        <v>20.6</v>
      </c>
      <c r="F47">
        <v>11.5</v>
      </c>
      <c r="G47">
        <v>68.2</v>
      </c>
      <c r="H47">
        <v>13189.12</v>
      </c>
      <c r="I47">
        <v>0</v>
      </c>
    </row>
    <row r="48" spans="1:9">
      <c r="C48" s="2"/>
      <c r="D48" t="s">
        <v>10</v>
      </c>
      <c r="E48">
        <v>248.4</v>
      </c>
      <c r="F48">
        <v>236.4</v>
      </c>
      <c r="G48">
        <v>371.5</v>
      </c>
      <c r="H48">
        <v>13189.12</v>
      </c>
      <c r="I48">
        <v>0</v>
      </c>
    </row>
    <row r="49" spans="1:9">
      <c r="C49" s="1" t="s">
        <v>22</v>
      </c>
      <c r="D49" t="s">
        <v>11</v>
      </c>
      <c r="E49">
        <v>83.6</v>
      </c>
      <c r="F49">
        <v>69.2</v>
      </c>
      <c r="G49">
        <v>212.3</v>
      </c>
      <c r="H49">
        <v>13189.12</v>
      </c>
      <c r="I49">
        <v>0</v>
      </c>
    </row>
    <row r="50" spans="1:9">
      <c r="C50" s="3" t="s">
        <v>24</v>
      </c>
      <c r="D50" t="s">
        <v>12</v>
      </c>
      <c r="E50">
        <v>4.2</v>
      </c>
      <c r="F50">
        <v>2.8</v>
      </c>
      <c r="G50">
        <v>26.5</v>
      </c>
      <c r="H50">
        <v>13189.12</v>
      </c>
      <c r="I50">
        <v>0</v>
      </c>
    </row>
    <row r="51" spans="1:9">
      <c r="C51" s="2"/>
      <c r="D51" t="s">
        <v>13</v>
      </c>
      <c r="E51">
        <v>253.4</v>
      </c>
      <c r="F51">
        <v>262.5</v>
      </c>
      <c r="G51">
        <v>362.4</v>
      </c>
      <c r="H51">
        <v>13189.12</v>
      </c>
      <c r="I51">
        <v>0</v>
      </c>
    </row>
    <row r="52" spans="1:9">
      <c r="C52" s="2"/>
      <c r="D52" t="s">
        <v>14</v>
      </c>
      <c r="E52">
        <v>180.9</v>
      </c>
      <c r="F52">
        <v>176.9</v>
      </c>
      <c r="G52">
        <v>240.9</v>
      </c>
      <c r="H52">
        <v>13189.12</v>
      </c>
      <c r="I52">
        <v>0</v>
      </c>
    </row>
    <row r="53" spans="1:9">
      <c r="C53" s="2" t="s">
        <v>29</v>
      </c>
      <c r="D53" t="s">
        <v>15</v>
      </c>
      <c r="E53">
        <v>297.39999999999998</v>
      </c>
      <c r="F53">
        <v>308.3</v>
      </c>
      <c r="G53">
        <v>482</v>
      </c>
      <c r="H53">
        <v>13189.12</v>
      </c>
      <c r="I53">
        <v>0</v>
      </c>
    </row>
    <row r="54" spans="1:9">
      <c r="C54" s="2"/>
      <c r="D54" t="s">
        <v>16</v>
      </c>
      <c r="E54">
        <v>2.2999999999999998</v>
      </c>
      <c r="F54">
        <v>1.1000000000000001</v>
      </c>
      <c r="G54">
        <v>23.3</v>
      </c>
      <c r="H54">
        <v>13189.12</v>
      </c>
      <c r="I54">
        <v>0</v>
      </c>
    </row>
    <row r="55" spans="1:9">
      <c r="C55" s="2"/>
      <c r="D55" t="s">
        <v>17</v>
      </c>
      <c r="E55">
        <v>716.5</v>
      </c>
      <c r="F55">
        <v>738.5</v>
      </c>
      <c r="G55">
        <v>1034.3</v>
      </c>
      <c r="H55">
        <v>13189.12</v>
      </c>
      <c r="I55">
        <v>0</v>
      </c>
    </row>
    <row r="56" spans="1:9">
      <c r="D56" t="s">
        <v>18</v>
      </c>
      <c r="E56">
        <v>22.6</v>
      </c>
      <c r="F56">
        <v>20.3</v>
      </c>
      <c r="G56">
        <v>58.9</v>
      </c>
      <c r="H56">
        <v>13189.12</v>
      </c>
      <c r="I56">
        <v>0</v>
      </c>
    </row>
    <row r="57" spans="1:9">
      <c r="A57">
        <v>32768</v>
      </c>
      <c r="B57">
        <v>10000</v>
      </c>
      <c r="D57" t="s">
        <v>8</v>
      </c>
      <c r="E57">
        <v>1417.4</v>
      </c>
      <c r="F57">
        <v>1423.1</v>
      </c>
      <c r="G57">
        <v>1885.1</v>
      </c>
      <c r="H57">
        <v>16946.78</v>
      </c>
      <c r="I57">
        <v>0</v>
      </c>
    </row>
    <row r="58" spans="1:9">
      <c r="C58" s="2" t="s">
        <v>20</v>
      </c>
      <c r="D58" t="s">
        <v>9</v>
      </c>
      <c r="E58">
        <v>74.8</v>
      </c>
      <c r="F58">
        <v>88.4</v>
      </c>
      <c r="G58">
        <v>162.30000000000001</v>
      </c>
      <c r="H58">
        <v>16946.78</v>
      </c>
      <c r="I58">
        <v>0</v>
      </c>
    </row>
    <row r="59" spans="1:9">
      <c r="C59" s="2"/>
      <c r="D59" t="s">
        <v>10</v>
      </c>
      <c r="E59">
        <v>317</v>
      </c>
      <c r="F59">
        <v>307.10000000000002</v>
      </c>
      <c r="G59">
        <v>415.7</v>
      </c>
      <c r="H59">
        <v>16946.78</v>
      </c>
      <c r="I59">
        <v>0</v>
      </c>
    </row>
    <row r="60" spans="1:9">
      <c r="C60" s="1" t="s">
        <v>22</v>
      </c>
      <c r="D60" t="s">
        <v>11</v>
      </c>
      <c r="E60">
        <v>169.8</v>
      </c>
      <c r="F60">
        <v>171.5</v>
      </c>
      <c r="G60">
        <v>316</v>
      </c>
      <c r="H60">
        <v>16946.78</v>
      </c>
      <c r="I60">
        <v>0</v>
      </c>
    </row>
    <row r="61" spans="1:9">
      <c r="C61" s="3" t="s">
        <v>24</v>
      </c>
      <c r="D61" t="s">
        <v>12</v>
      </c>
      <c r="E61">
        <v>6</v>
      </c>
      <c r="F61">
        <v>6</v>
      </c>
      <c r="G61">
        <v>29.9</v>
      </c>
      <c r="H61">
        <v>16946.78</v>
      </c>
      <c r="I61">
        <v>0</v>
      </c>
    </row>
    <row r="62" spans="1:9">
      <c r="C62" s="2"/>
      <c r="D62" t="s">
        <v>13</v>
      </c>
      <c r="E62">
        <v>294.10000000000002</v>
      </c>
      <c r="F62">
        <v>298.7</v>
      </c>
      <c r="G62">
        <v>451.1</v>
      </c>
      <c r="H62">
        <v>16946.78</v>
      </c>
      <c r="I62">
        <v>0</v>
      </c>
    </row>
    <row r="63" spans="1:9">
      <c r="C63" s="2"/>
      <c r="D63" t="s">
        <v>14</v>
      </c>
      <c r="E63">
        <v>206.3</v>
      </c>
      <c r="F63">
        <v>200.5</v>
      </c>
      <c r="G63">
        <v>289.2</v>
      </c>
      <c r="H63">
        <v>16946.78</v>
      </c>
      <c r="I63">
        <v>0</v>
      </c>
    </row>
    <row r="64" spans="1:9">
      <c r="C64" s="2" t="s">
        <v>29</v>
      </c>
      <c r="D64" t="s">
        <v>15</v>
      </c>
      <c r="E64">
        <v>326.3</v>
      </c>
      <c r="F64">
        <v>328.4</v>
      </c>
      <c r="G64">
        <v>517.9</v>
      </c>
      <c r="H64">
        <v>16946.78</v>
      </c>
      <c r="I64">
        <v>0</v>
      </c>
    </row>
    <row r="65" spans="1:9">
      <c r="C65" s="2"/>
      <c r="D65" t="s">
        <v>16</v>
      </c>
      <c r="E65">
        <v>4.4000000000000004</v>
      </c>
      <c r="F65">
        <v>1.2</v>
      </c>
      <c r="G65">
        <v>19.100000000000001</v>
      </c>
      <c r="H65">
        <v>16946.78</v>
      </c>
      <c r="I65">
        <v>0</v>
      </c>
    </row>
    <row r="66" spans="1:9">
      <c r="C66" s="2"/>
      <c r="D66" t="s">
        <v>17</v>
      </c>
      <c r="E66">
        <v>884.4</v>
      </c>
      <c r="F66">
        <v>923.2</v>
      </c>
      <c r="G66">
        <v>1285.9000000000001</v>
      </c>
      <c r="H66">
        <v>16946.78</v>
      </c>
      <c r="I66">
        <v>0</v>
      </c>
    </row>
    <row r="67" spans="1:9">
      <c r="D67" t="s">
        <v>18</v>
      </c>
      <c r="E67">
        <v>23.1</v>
      </c>
      <c r="F67">
        <v>14.2</v>
      </c>
      <c r="G67">
        <v>48.5</v>
      </c>
      <c r="H67">
        <v>16946.78</v>
      </c>
      <c r="I67">
        <v>0</v>
      </c>
    </row>
    <row r="68" spans="1:9">
      <c r="A68">
        <v>65536</v>
      </c>
      <c r="B68">
        <v>10000</v>
      </c>
      <c r="D68" t="s">
        <v>8</v>
      </c>
      <c r="E68">
        <v>1620.9</v>
      </c>
      <c r="F68">
        <v>1647.8</v>
      </c>
      <c r="G68">
        <v>1965</v>
      </c>
      <c r="H68">
        <v>19811.88</v>
      </c>
      <c r="I68">
        <v>0</v>
      </c>
    </row>
    <row r="69" spans="1:9">
      <c r="C69" s="2" t="s">
        <v>20</v>
      </c>
      <c r="D69" t="s">
        <v>9</v>
      </c>
      <c r="E69">
        <v>133.69999999999999</v>
      </c>
      <c r="F69">
        <v>157.80000000000001</v>
      </c>
      <c r="G69">
        <v>194.9</v>
      </c>
      <c r="H69">
        <v>19811.88</v>
      </c>
      <c r="I69">
        <v>0</v>
      </c>
    </row>
    <row r="70" spans="1:9">
      <c r="C70" s="2"/>
      <c r="D70" t="s">
        <v>10</v>
      </c>
      <c r="E70">
        <v>391</v>
      </c>
      <c r="F70">
        <v>385</v>
      </c>
      <c r="G70">
        <v>493.5</v>
      </c>
      <c r="H70">
        <v>19811.88</v>
      </c>
      <c r="I70">
        <v>0</v>
      </c>
    </row>
    <row r="71" spans="1:9">
      <c r="C71" s="1" t="s">
        <v>22</v>
      </c>
      <c r="D71" t="s">
        <v>11</v>
      </c>
      <c r="E71">
        <v>185.3</v>
      </c>
      <c r="F71">
        <v>189.4</v>
      </c>
      <c r="G71">
        <v>312.3</v>
      </c>
      <c r="H71">
        <v>19811.88</v>
      </c>
      <c r="I71">
        <v>0</v>
      </c>
    </row>
    <row r="72" spans="1:9">
      <c r="C72" s="3" t="s">
        <v>24</v>
      </c>
      <c r="D72" t="s">
        <v>12</v>
      </c>
      <c r="E72">
        <v>7.3</v>
      </c>
      <c r="F72">
        <v>5.7</v>
      </c>
      <c r="G72">
        <v>29.7</v>
      </c>
      <c r="H72">
        <v>19811.88</v>
      </c>
      <c r="I72">
        <v>0</v>
      </c>
    </row>
    <row r="73" spans="1:9">
      <c r="C73" s="2"/>
      <c r="D73" t="s">
        <v>13</v>
      </c>
      <c r="E73">
        <v>307.7</v>
      </c>
      <c r="F73">
        <v>305.89999999999998</v>
      </c>
      <c r="G73">
        <v>453.7</v>
      </c>
      <c r="H73">
        <v>19811.88</v>
      </c>
      <c r="I73">
        <v>0</v>
      </c>
    </row>
    <row r="74" spans="1:9">
      <c r="C74" s="2"/>
      <c r="D74" t="s">
        <v>14</v>
      </c>
      <c r="E74">
        <v>253.1</v>
      </c>
      <c r="F74">
        <v>252.3</v>
      </c>
      <c r="G74">
        <v>340.2</v>
      </c>
      <c r="H74">
        <v>19811.88</v>
      </c>
      <c r="I74">
        <v>0</v>
      </c>
    </row>
    <row r="75" spans="1:9">
      <c r="C75" s="2" t="s">
        <v>29</v>
      </c>
      <c r="D75" t="s">
        <v>15</v>
      </c>
      <c r="E75">
        <v>320.60000000000002</v>
      </c>
      <c r="F75">
        <v>329.8</v>
      </c>
      <c r="G75">
        <v>504.8</v>
      </c>
      <c r="H75">
        <v>19811.88</v>
      </c>
      <c r="I75">
        <v>0</v>
      </c>
    </row>
    <row r="76" spans="1:9">
      <c r="C76" s="2"/>
      <c r="D76" t="s">
        <v>16</v>
      </c>
      <c r="E76">
        <v>2.6</v>
      </c>
      <c r="F76">
        <v>1.2</v>
      </c>
      <c r="G76">
        <v>20.6</v>
      </c>
      <c r="H76">
        <v>19811.88</v>
      </c>
      <c r="I76">
        <v>0</v>
      </c>
    </row>
    <row r="77" spans="1:9">
      <c r="C77" s="2"/>
      <c r="D77" t="s">
        <v>17</v>
      </c>
      <c r="E77">
        <v>951</v>
      </c>
      <c r="F77">
        <v>998.3</v>
      </c>
      <c r="G77">
        <v>1291.0999999999999</v>
      </c>
      <c r="H77">
        <v>19811.88</v>
      </c>
      <c r="I77">
        <v>0</v>
      </c>
    </row>
    <row r="78" spans="1:9">
      <c r="D78" t="s">
        <v>18</v>
      </c>
      <c r="E78">
        <v>22.2</v>
      </c>
      <c r="F78">
        <v>14.1</v>
      </c>
      <c r="G78">
        <v>54.7</v>
      </c>
      <c r="H78">
        <v>19811.88</v>
      </c>
      <c r="I78">
        <v>0</v>
      </c>
    </row>
    <row r="79" spans="1:9">
      <c r="A79">
        <v>131072</v>
      </c>
      <c r="B79">
        <v>10000</v>
      </c>
      <c r="D79" t="s">
        <v>8</v>
      </c>
      <c r="E79">
        <v>2024.2</v>
      </c>
      <c r="F79">
        <v>2032.7</v>
      </c>
      <c r="G79">
        <v>2469.8000000000002</v>
      </c>
      <c r="H79">
        <v>25999.15</v>
      </c>
      <c r="I79">
        <v>0</v>
      </c>
    </row>
    <row r="80" spans="1:9">
      <c r="C80" s="2" t="s">
        <v>20</v>
      </c>
      <c r="D80" t="s">
        <v>9</v>
      </c>
      <c r="E80">
        <v>160.9</v>
      </c>
      <c r="F80">
        <v>90.4</v>
      </c>
      <c r="G80">
        <v>340</v>
      </c>
      <c r="H80">
        <v>25999.15</v>
      </c>
      <c r="I80">
        <v>0</v>
      </c>
    </row>
    <row r="81" spans="3:9">
      <c r="C81" s="2"/>
      <c r="D81" t="s">
        <v>10</v>
      </c>
      <c r="E81">
        <v>566.6</v>
      </c>
      <c r="F81">
        <v>577.70000000000005</v>
      </c>
      <c r="G81">
        <v>654.9</v>
      </c>
      <c r="H81">
        <v>25999.15</v>
      </c>
      <c r="I81">
        <v>0</v>
      </c>
    </row>
    <row r="82" spans="3:9">
      <c r="C82" s="1" t="s">
        <v>22</v>
      </c>
      <c r="D82" t="s">
        <v>11</v>
      </c>
      <c r="E82">
        <v>215.7</v>
      </c>
      <c r="F82">
        <v>209.9</v>
      </c>
      <c r="G82">
        <v>322.5</v>
      </c>
      <c r="H82">
        <v>25999.15</v>
      </c>
      <c r="I82">
        <v>0</v>
      </c>
    </row>
    <row r="83" spans="3:9">
      <c r="C83" s="3" t="s">
        <v>24</v>
      </c>
      <c r="D83" t="s">
        <v>12</v>
      </c>
      <c r="E83">
        <v>7.5</v>
      </c>
      <c r="F83">
        <v>6.6</v>
      </c>
      <c r="G83">
        <v>30.2</v>
      </c>
      <c r="H83">
        <v>25999.15</v>
      </c>
      <c r="I83">
        <v>0</v>
      </c>
    </row>
    <row r="84" spans="3:9">
      <c r="C84" s="2"/>
      <c r="D84" t="s">
        <v>13</v>
      </c>
      <c r="E84">
        <v>384.6</v>
      </c>
      <c r="F84">
        <v>395.4</v>
      </c>
      <c r="G84">
        <v>508.8</v>
      </c>
      <c r="H84">
        <v>25999.15</v>
      </c>
      <c r="I84">
        <v>0</v>
      </c>
    </row>
    <row r="85" spans="3:9">
      <c r="C85" s="2"/>
      <c r="D85" t="s">
        <v>14</v>
      </c>
      <c r="E85">
        <v>350.1</v>
      </c>
      <c r="F85">
        <v>346.5</v>
      </c>
      <c r="G85">
        <v>481</v>
      </c>
      <c r="H85">
        <v>25999.15</v>
      </c>
      <c r="I85">
        <v>0</v>
      </c>
    </row>
    <row r="86" spans="3:9">
      <c r="C86" s="2" t="s">
        <v>29</v>
      </c>
      <c r="D86" t="s">
        <v>15</v>
      </c>
      <c r="E86">
        <v>316.8</v>
      </c>
      <c r="F86">
        <v>315</v>
      </c>
      <c r="G86">
        <v>514.70000000000005</v>
      </c>
      <c r="H86">
        <v>25999.15</v>
      </c>
      <c r="I86">
        <v>0</v>
      </c>
    </row>
    <row r="87" spans="3:9">
      <c r="C87" s="2"/>
      <c r="D87" t="s">
        <v>16</v>
      </c>
      <c r="E87">
        <v>2.4</v>
      </c>
      <c r="F87">
        <v>1.3</v>
      </c>
      <c r="G87">
        <v>22.3</v>
      </c>
      <c r="H87">
        <v>25999.15</v>
      </c>
      <c r="I87">
        <v>0</v>
      </c>
    </row>
    <row r="88" spans="3:9">
      <c r="C88" s="2"/>
      <c r="D88" t="s">
        <v>17</v>
      </c>
      <c r="E88">
        <v>1139.2</v>
      </c>
      <c r="F88">
        <v>1101.8</v>
      </c>
      <c r="G88">
        <v>1400.6</v>
      </c>
      <c r="H88">
        <v>25999.15</v>
      </c>
      <c r="I88">
        <v>0</v>
      </c>
    </row>
    <row r="89" spans="3:9">
      <c r="D89" t="s">
        <v>18</v>
      </c>
      <c r="E89">
        <v>22</v>
      </c>
      <c r="F89">
        <v>14.3</v>
      </c>
      <c r="G89">
        <v>71.2</v>
      </c>
      <c r="H89">
        <v>25999.15</v>
      </c>
      <c r="I89">
        <v>0</v>
      </c>
    </row>
  </sheetData>
  <mergeCells count="24">
    <mergeCell ref="C69:C70"/>
    <mergeCell ref="C72:C74"/>
    <mergeCell ref="C75:C77"/>
    <mergeCell ref="C80:C81"/>
    <mergeCell ref="C83:C85"/>
    <mergeCell ref="C86:C88"/>
    <mergeCell ref="C47:C48"/>
    <mergeCell ref="C50:C52"/>
    <mergeCell ref="C53:C55"/>
    <mergeCell ref="C58:C59"/>
    <mergeCell ref="C61:C63"/>
    <mergeCell ref="C64:C66"/>
    <mergeCell ref="C25:C26"/>
    <mergeCell ref="C28:C30"/>
    <mergeCell ref="C31:C33"/>
    <mergeCell ref="C36:C37"/>
    <mergeCell ref="C39:C41"/>
    <mergeCell ref="C42:C44"/>
    <mergeCell ref="C3:C4"/>
    <mergeCell ref="C6:C8"/>
    <mergeCell ref="C9:C11"/>
    <mergeCell ref="C14:C15"/>
    <mergeCell ref="C17:C19"/>
    <mergeCell ref="C20:C22"/>
  </mergeCells>
  <phoneticPr fontId="18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6A3-96E0-424F-A3BB-6E745D199FC7}">
  <dimension ref="A1:L22"/>
  <sheetViews>
    <sheetView workbookViewId="0">
      <selection activeCell="F24" sqref="F24"/>
    </sheetView>
  </sheetViews>
  <sheetFormatPr baseColWidth="10" defaultRowHeight="18"/>
  <sheetData>
    <row r="1" spans="1:12">
      <c r="A1">
        <v>4096</v>
      </c>
      <c r="B1">
        <v>10000</v>
      </c>
      <c r="C1" t="s">
        <v>8</v>
      </c>
      <c r="D1">
        <v>1057.3</v>
      </c>
      <c r="F1" s="4" t="s">
        <v>0</v>
      </c>
      <c r="G1" s="4" t="s">
        <v>19</v>
      </c>
      <c r="H1" s="4" t="s">
        <v>21</v>
      </c>
      <c r="I1" s="4" t="s">
        <v>23</v>
      </c>
      <c r="J1" s="4" t="s">
        <v>28</v>
      </c>
      <c r="K1" s="4" t="s">
        <v>30</v>
      </c>
      <c r="L1" s="4" t="s">
        <v>31</v>
      </c>
    </row>
    <row r="2" spans="1:12">
      <c r="A2">
        <v>4096</v>
      </c>
      <c r="B2">
        <v>10000</v>
      </c>
      <c r="C2" t="s">
        <v>9</v>
      </c>
      <c r="D2">
        <v>9.8000000000000007</v>
      </c>
      <c r="F2" t="str">
        <f>A1/1024&amp;"KB"</f>
        <v>4KB</v>
      </c>
      <c r="G2">
        <f>SUM(D2:D3)</f>
        <v>215.4</v>
      </c>
      <c r="H2">
        <f>D4</f>
        <v>98.9</v>
      </c>
      <c r="I2">
        <f>SUM(D5:D7)</f>
        <v>428.20000000000005</v>
      </c>
      <c r="J2">
        <f>D8</f>
        <v>290</v>
      </c>
      <c r="K2">
        <f>SUM(G2:J2)</f>
        <v>1032.5</v>
      </c>
      <c r="L2">
        <f>D1</f>
        <v>1057.3</v>
      </c>
    </row>
    <row r="3" spans="1:12">
      <c r="A3">
        <v>4096</v>
      </c>
      <c r="B3">
        <v>10000</v>
      </c>
      <c r="C3" t="s">
        <v>10</v>
      </c>
      <c r="D3">
        <v>205.6</v>
      </c>
      <c r="F3" t="str">
        <f>A12/1024&amp;"KB"</f>
        <v>8KB</v>
      </c>
      <c r="G3">
        <f>SUM(D13:D14)</f>
        <v>238.4</v>
      </c>
      <c r="H3">
        <f>D15</f>
        <v>80.599999999999994</v>
      </c>
      <c r="I3">
        <f>SUM(D16:D18)</f>
        <v>423.5</v>
      </c>
      <c r="J3">
        <f>D19</f>
        <v>281.2</v>
      </c>
      <c r="K3">
        <f>SUM(G3:J3)</f>
        <v>1023.7</v>
      </c>
      <c r="L3">
        <f>D12</f>
        <v>1048.2</v>
      </c>
    </row>
    <row r="4" spans="1:12">
      <c r="A4">
        <v>4096</v>
      </c>
      <c r="B4">
        <v>10000</v>
      </c>
      <c r="C4" t="s">
        <v>11</v>
      </c>
      <c r="D4">
        <v>98.9</v>
      </c>
    </row>
    <row r="5" spans="1:12">
      <c r="A5">
        <v>4096</v>
      </c>
      <c r="B5">
        <v>10000</v>
      </c>
      <c r="C5" t="s">
        <v>12</v>
      </c>
      <c r="D5">
        <v>4.0999999999999996</v>
      </c>
    </row>
    <row r="6" spans="1:12">
      <c r="A6">
        <v>4096</v>
      </c>
      <c r="B6">
        <v>10000</v>
      </c>
      <c r="C6" t="s">
        <v>13</v>
      </c>
      <c r="D6">
        <v>257.3</v>
      </c>
    </row>
    <row r="7" spans="1:12">
      <c r="A7">
        <v>4096</v>
      </c>
      <c r="B7">
        <v>10000</v>
      </c>
      <c r="C7" t="s">
        <v>14</v>
      </c>
      <c r="D7">
        <v>166.8</v>
      </c>
    </row>
    <row r="8" spans="1:12">
      <c r="A8">
        <v>4096</v>
      </c>
      <c r="B8">
        <v>10000</v>
      </c>
      <c r="C8" t="s">
        <v>15</v>
      </c>
      <c r="D8">
        <v>290</v>
      </c>
    </row>
    <row r="9" spans="1:12">
      <c r="A9">
        <v>4096</v>
      </c>
      <c r="B9">
        <v>10000</v>
      </c>
      <c r="C9" t="s">
        <v>16</v>
      </c>
      <c r="D9">
        <v>2.2999999999999998</v>
      </c>
    </row>
    <row r="10" spans="1:12">
      <c r="A10">
        <v>4096</v>
      </c>
      <c r="B10">
        <v>10000</v>
      </c>
      <c r="C10" t="s">
        <v>17</v>
      </c>
      <c r="D10">
        <v>719.1</v>
      </c>
    </row>
    <row r="11" spans="1:12">
      <c r="A11">
        <v>4096</v>
      </c>
      <c r="B11">
        <v>10000</v>
      </c>
      <c r="C11" t="s">
        <v>18</v>
      </c>
      <c r="D11">
        <v>24.8</v>
      </c>
    </row>
    <row r="12" spans="1:12">
      <c r="A12">
        <v>8192</v>
      </c>
      <c r="B12">
        <v>10000</v>
      </c>
      <c r="C12" t="s">
        <v>8</v>
      </c>
      <c r="D12">
        <v>1048.2</v>
      </c>
    </row>
    <row r="13" spans="1:12">
      <c r="A13">
        <v>8192</v>
      </c>
      <c r="B13">
        <v>10000</v>
      </c>
      <c r="C13" t="s">
        <v>9</v>
      </c>
      <c r="D13">
        <v>21.6</v>
      </c>
    </row>
    <row r="14" spans="1:12">
      <c r="A14">
        <v>8192</v>
      </c>
      <c r="B14">
        <v>10000</v>
      </c>
      <c r="C14" t="s">
        <v>10</v>
      </c>
      <c r="D14">
        <v>216.8</v>
      </c>
    </row>
    <row r="15" spans="1:12">
      <c r="A15">
        <v>8192</v>
      </c>
      <c r="B15">
        <v>10000</v>
      </c>
      <c r="C15" t="s">
        <v>11</v>
      </c>
      <c r="D15">
        <v>80.599999999999994</v>
      </c>
    </row>
    <row r="16" spans="1:12">
      <c r="A16">
        <v>8192</v>
      </c>
      <c r="B16">
        <v>10000</v>
      </c>
      <c r="C16" t="s">
        <v>12</v>
      </c>
      <c r="D16">
        <v>3.9</v>
      </c>
    </row>
    <row r="17" spans="1:4">
      <c r="A17">
        <v>8192</v>
      </c>
      <c r="B17">
        <v>10000</v>
      </c>
      <c r="C17" t="s">
        <v>13</v>
      </c>
      <c r="D17">
        <v>248.7</v>
      </c>
    </row>
    <row r="18" spans="1:4">
      <c r="A18">
        <v>8192</v>
      </c>
      <c r="B18">
        <v>10000</v>
      </c>
      <c r="C18" t="s">
        <v>14</v>
      </c>
      <c r="D18">
        <v>170.9</v>
      </c>
    </row>
    <row r="19" spans="1:4">
      <c r="A19">
        <v>8192</v>
      </c>
      <c r="B19">
        <v>10000</v>
      </c>
      <c r="C19" t="s">
        <v>15</v>
      </c>
      <c r="D19">
        <v>281.2</v>
      </c>
    </row>
    <row r="20" spans="1:4">
      <c r="A20">
        <v>8192</v>
      </c>
      <c r="B20">
        <v>10000</v>
      </c>
      <c r="C20" t="s">
        <v>16</v>
      </c>
      <c r="D20">
        <v>1.8</v>
      </c>
    </row>
    <row r="21" spans="1:4">
      <c r="A21">
        <v>8192</v>
      </c>
      <c r="B21">
        <v>10000</v>
      </c>
      <c r="C21" t="s">
        <v>17</v>
      </c>
      <c r="D21">
        <v>691.1</v>
      </c>
    </row>
    <row r="22" spans="1:4">
      <c r="A22">
        <v>8192</v>
      </c>
      <c r="B22">
        <v>10000</v>
      </c>
      <c r="C22" t="s">
        <v>18</v>
      </c>
      <c r="D22">
        <v>24.4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latency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송종찬</dc:creator>
  <cp:lastModifiedBy>송종찬</cp:lastModifiedBy>
  <dcterms:created xsi:type="dcterms:W3CDTF">2026-09-17T04:46:09Z</dcterms:created>
  <dcterms:modified xsi:type="dcterms:W3CDTF">2026-09-17T10:07:36Z</dcterms:modified>
</cp:coreProperties>
</file>